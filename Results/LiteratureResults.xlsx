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odg\OneDrive\Documents\Github\Outlier-Detection\Results\"/>
    </mc:Choice>
  </mc:AlternateContent>
  <xr:revisionPtr revIDLastSave="0" documentId="13_ncr:1_{922DF805-B399-43AC-9024-19A82862CC4E}" xr6:coauthVersionLast="47" xr6:coauthVersionMax="47" xr10:uidLastSave="{00000000-0000-0000-0000-000000000000}"/>
  <bookViews>
    <workbookView xWindow="-120" yWindow="-120" windowWidth="29040" windowHeight="15720" activeTab="1" xr2:uid="{EB4C2EE5-162F-4F7B-B255-EA51AF28C081}"/>
  </bookViews>
  <sheets>
    <sheet name="Results" sheetId="1" r:id="rId1"/>
    <sheet name="R^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3" l="1"/>
  <c r="M5" i="3"/>
  <c r="M6" i="3"/>
  <c r="M7" i="3"/>
  <c r="M8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3" i="3"/>
  <c r="X38" i="1"/>
  <c r="X39" i="1"/>
  <c r="X40" i="1"/>
  <c r="X41" i="1"/>
  <c r="X42" i="1"/>
  <c r="X43" i="1"/>
  <c r="X44" i="1"/>
  <c r="X45" i="1"/>
  <c r="X46" i="1"/>
  <c r="X47" i="1"/>
  <c r="X48" i="1"/>
  <c r="X26" i="1"/>
  <c r="X27" i="1"/>
  <c r="X36" i="1"/>
  <c r="X28" i="1"/>
  <c r="X30" i="1"/>
  <c r="X31" i="1"/>
  <c r="X33" i="1"/>
  <c r="X34" i="1"/>
  <c r="X29" i="1"/>
  <c r="X35" i="1"/>
  <c r="X5" i="1"/>
  <c r="X6" i="1"/>
  <c r="X7" i="1"/>
  <c r="X8" i="1"/>
  <c r="X9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32" i="1"/>
  <c r="X4" i="1"/>
</calcChain>
</file>

<file path=xl/sharedStrings.xml><?xml version="1.0" encoding="utf-8"?>
<sst xmlns="http://schemas.openxmlformats.org/spreadsheetml/2006/main" count="113" uniqueCount="47">
  <si>
    <t>ROC AUC</t>
  </si>
  <si>
    <t>k</t>
  </si>
  <si>
    <t>Log Transform</t>
  </si>
  <si>
    <t>No Transform</t>
  </si>
  <si>
    <t>KNN</t>
  </si>
  <si>
    <t>LOF</t>
  </si>
  <si>
    <t>COF</t>
  </si>
  <si>
    <t>State of Art Manhattan</t>
  </si>
  <si>
    <t>State of Art Eucli.</t>
  </si>
  <si>
    <t>norm</t>
  </si>
  <si>
    <t>t</t>
  </si>
  <si>
    <t>laplace</t>
  </si>
  <si>
    <t>cauchy</t>
  </si>
  <si>
    <t>logistic</t>
  </si>
  <si>
    <t>skewnorm</t>
  </si>
  <si>
    <t>expon</t>
  </si>
  <si>
    <t>chi2</t>
  </si>
  <si>
    <t>gamma</t>
  </si>
  <si>
    <t>weibull_min</t>
  </si>
  <si>
    <t>lognorm</t>
  </si>
  <si>
    <t>invgauss</t>
  </si>
  <si>
    <t>rayleigh</t>
  </si>
  <si>
    <t>wald</t>
  </si>
  <si>
    <t>pareto</t>
  </si>
  <si>
    <t>levy</t>
  </si>
  <si>
    <t>nakagami</t>
  </si>
  <si>
    <t>powerlaw</t>
  </si>
  <si>
    <t>SimplifiedLOF</t>
  </si>
  <si>
    <t>LoOP</t>
  </si>
  <si>
    <t>ODIN</t>
  </si>
  <si>
    <t>KDEOS</t>
  </si>
  <si>
    <t>LDF</t>
  </si>
  <si>
    <t>INFLO</t>
  </si>
  <si>
    <t>LDOF</t>
  </si>
  <si>
    <t>FastABOD</t>
  </si>
  <si>
    <t>ALOI</t>
  </si>
  <si>
    <t>Glass</t>
  </si>
  <si>
    <t>Ionosphere</t>
  </si>
  <si>
    <t>KDDCup99</t>
  </si>
  <si>
    <t>Lymphography</t>
  </si>
  <si>
    <t>PenDigits</t>
  </si>
  <si>
    <t>Shuttle</t>
  </si>
  <si>
    <t>Waveform</t>
  </si>
  <si>
    <t>WBC</t>
  </si>
  <si>
    <t>WDBC</t>
  </si>
  <si>
    <t>WPBC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</si>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</sst>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10" fontId="0" fillId="0" borderId="0" xfId="1" applyNumberFormat="1" applyFont="1" applyAlignment="1">
      <alignment horizontal="center"/>
    </xf>
    <xf numFmtId="10" fontId="0" fillId="0" borderId="0" xfId="1" applyNumberFormat="1" applyFont="1"/>
    <xf numFmtId="10" fontId="0" fillId="0" borderId="0" xfId="1" applyNumberFormat="1" applyFont="1" applyAlignment="1">
      <alignment vertical="center" wrapText="1"/>
    </xf>
    <xf numFmtId="10" fontId="0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2B787-7359-4CC6-BFFD-4871B691D562}">
  <dimension ref="A1:X63"/>
  <sheetViews>
    <sheetView workbookViewId="0">
      <selection activeCell="V1" activeCellId="10" sqref="B1 D1 F1 H1 J1 L1 N1 P1 R1 T1 V1"/>
    </sheetView>
  </sheetViews>
  <sheetFormatPr defaultRowHeight="15" x14ac:dyDescent="0.25"/>
  <cols>
    <col min="1" max="1" width="20.85546875" customWidth="1"/>
    <col min="2" max="2" width="9.140625" style="6"/>
    <col min="4" max="4" width="9.140625" style="6"/>
    <col min="6" max="6" width="9.140625" style="6"/>
    <col min="8" max="8" width="9.140625" style="6"/>
    <col min="10" max="10" width="9.140625" style="6"/>
    <col min="12" max="12" width="9.140625" style="6"/>
    <col min="14" max="14" width="9.140625" style="6"/>
    <col min="16" max="16" width="9.140625" style="6"/>
    <col min="18" max="18" width="9.140625" style="6"/>
    <col min="20" max="20" width="9.140625" style="6"/>
    <col min="22" max="22" width="9.140625" style="6"/>
  </cols>
  <sheetData>
    <row r="1" spans="1:24" x14ac:dyDescent="0.25">
      <c r="B1" t="s">
        <v>35</v>
      </c>
      <c r="D1" t="s">
        <v>36</v>
      </c>
      <c r="F1" t="s">
        <v>37</v>
      </c>
      <c r="H1" t="s">
        <v>38</v>
      </c>
      <c r="J1" t="s">
        <v>39</v>
      </c>
      <c r="L1" t="s">
        <v>40</v>
      </c>
      <c r="N1" t="s">
        <v>41</v>
      </c>
      <c r="P1" t="s">
        <v>42</v>
      </c>
      <c r="R1" t="s">
        <v>43</v>
      </c>
      <c r="T1" t="s">
        <v>44</v>
      </c>
      <c r="V1" t="s">
        <v>45</v>
      </c>
    </row>
    <row r="2" spans="1:24" x14ac:dyDescent="0.25">
      <c r="A2" s="1"/>
      <c r="B2" s="5" t="s">
        <v>0</v>
      </c>
      <c r="C2" s="1" t="s">
        <v>1</v>
      </c>
      <c r="D2" s="5" t="s">
        <v>0</v>
      </c>
      <c r="E2" s="1" t="s">
        <v>1</v>
      </c>
      <c r="F2" s="5" t="s">
        <v>0</v>
      </c>
      <c r="G2" s="1" t="s">
        <v>1</v>
      </c>
      <c r="H2" s="5" t="s">
        <v>0</v>
      </c>
      <c r="I2" s="1" t="s">
        <v>1</v>
      </c>
      <c r="J2" s="5" t="s">
        <v>0</v>
      </c>
      <c r="K2" s="1" t="s">
        <v>1</v>
      </c>
      <c r="L2" s="5" t="s">
        <v>0</v>
      </c>
      <c r="M2" s="1" t="s">
        <v>1</v>
      </c>
      <c r="N2" s="5" t="s">
        <v>0</v>
      </c>
      <c r="O2" s="1" t="s">
        <v>1</v>
      </c>
      <c r="P2" s="5" t="s">
        <v>0</v>
      </c>
      <c r="Q2" s="1" t="s">
        <v>1</v>
      </c>
      <c r="R2" s="5" t="s">
        <v>0</v>
      </c>
      <c r="S2" s="1" t="s">
        <v>1</v>
      </c>
      <c r="T2" s="5" t="s">
        <v>0</v>
      </c>
      <c r="U2" s="1" t="s">
        <v>1</v>
      </c>
      <c r="V2" s="5" t="s">
        <v>0</v>
      </c>
      <c r="W2" s="1" t="s">
        <v>1</v>
      </c>
      <c r="X2" s="1"/>
    </row>
    <row r="3" spans="1:24" x14ac:dyDescent="0.25">
      <c r="A3" s="3" t="s">
        <v>2</v>
      </c>
      <c r="B3" s="5"/>
      <c r="C3" s="1"/>
      <c r="D3" s="5"/>
      <c r="E3" s="1"/>
      <c r="F3" s="5"/>
      <c r="G3" s="1"/>
      <c r="H3" s="5"/>
      <c r="I3" s="1"/>
      <c r="J3" s="5"/>
      <c r="K3" s="1"/>
      <c r="L3" s="5"/>
      <c r="M3" s="1"/>
      <c r="N3" s="5"/>
      <c r="O3" s="1"/>
      <c r="P3" s="5"/>
      <c r="Q3" s="1"/>
      <c r="R3" s="5"/>
      <c r="S3" s="1"/>
      <c r="T3" s="5"/>
      <c r="U3" s="1"/>
      <c r="V3" s="5"/>
      <c r="W3" s="1"/>
      <c r="X3" s="1"/>
    </row>
    <row r="4" spans="1:24" x14ac:dyDescent="0.25">
      <c r="A4" s="3" t="s">
        <v>9</v>
      </c>
      <c r="B4" s="5">
        <v>0.745</v>
      </c>
      <c r="C4" s="1">
        <v>3</v>
      </c>
      <c r="D4" s="5">
        <v>0.872</v>
      </c>
      <c r="E4" s="1">
        <v>10</v>
      </c>
      <c r="F4" s="5">
        <v>0.90900000000000003</v>
      </c>
      <c r="G4" s="1">
        <v>2</v>
      </c>
      <c r="H4" s="5">
        <v>0.96799999999999997</v>
      </c>
      <c r="I4" s="1">
        <v>69</v>
      </c>
      <c r="J4" s="5">
        <v>1</v>
      </c>
      <c r="K4" s="1">
        <v>19</v>
      </c>
      <c r="L4" s="5">
        <v>0.98199999999999998</v>
      </c>
      <c r="M4" s="1">
        <v>9</v>
      </c>
      <c r="N4" s="5">
        <v>0.84599999999999997</v>
      </c>
      <c r="O4" s="1">
        <v>5</v>
      </c>
      <c r="P4" s="5">
        <v>0.78300000000000003</v>
      </c>
      <c r="Q4" s="1">
        <v>68</v>
      </c>
      <c r="R4" s="5">
        <v>0.99399999999999999</v>
      </c>
      <c r="S4" s="1">
        <v>9</v>
      </c>
      <c r="T4" s="5">
        <v>0.97699999999999998</v>
      </c>
      <c r="U4" s="1">
        <v>9</v>
      </c>
      <c r="V4" s="5">
        <v>0.53100000000000003</v>
      </c>
      <c r="W4" s="1">
        <v>12</v>
      </c>
      <c r="X4" s="2">
        <f>AVERAGE(B4,D4,F4,H4,J4,L4,N4,P4,R4,T4,V4)</f>
        <v>0.87336363636363645</v>
      </c>
    </row>
    <row r="5" spans="1:24" x14ac:dyDescent="0.25">
      <c r="A5" s="3" t="s">
        <v>10</v>
      </c>
      <c r="B5" s="5">
        <v>0.746</v>
      </c>
      <c r="C5" s="1">
        <v>3</v>
      </c>
      <c r="D5" s="5">
        <v>0.876</v>
      </c>
      <c r="E5" s="1">
        <v>2</v>
      </c>
      <c r="F5" s="5">
        <v>0.90900000000000003</v>
      </c>
      <c r="G5" s="1">
        <v>2</v>
      </c>
      <c r="H5" s="5">
        <v>0.96799999999999997</v>
      </c>
      <c r="I5" s="1">
        <v>68</v>
      </c>
      <c r="J5" s="5">
        <v>0.999</v>
      </c>
      <c r="K5" s="1">
        <v>6</v>
      </c>
      <c r="L5" s="5">
        <v>0.98299999999999998</v>
      </c>
      <c r="M5" s="1">
        <v>10</v>
      </c>
      <c r="N5" s="5">
        <v>0.85099999999999998</v>
      </c>
      <c r="O5" s="1">
        <v>5</v>
      </c>
      <c r="P5" s="5">
        <v>0.78500000000000003</v>
      </c>
      <c r="Q5" s="1">
        <v>64</v>
      </c>
      <c r="R5" s="5">
        <v>0.997</v>
      </c>
      <c r="S5" s="1">
        <v>23</v>
      </c>
      <c r="T5" s="5">
        <v>0.98399999999999999</v>
      </c>
      <c r="U5" s="1">
        <v>46</v>
      </c>
      <c r="V5" s="5">
        <v>0.53400000000000003</v>
      </c>
      <c r="W5" s="1">
        <v>20</v>
      </c>
      <c r="X5" s="2">
        <f t="shared" ref="X5:X48" si="0">AVERAGE(B5,D5,F5,H5,J5,L5,N5,P5,R5,T5,V5)</f>
        <v>0.87563636363636366</v>
      </c>
    </row>
    <row r="6" spans="1:24" x14ac:dyDescent="0.25">
      <c r="A6" s="3" t="s">
        <v>11</v>
      </c>
      <c r="B6" s="5">
        <v>0.745</v>
      </c>
      <c r="C6" s="1">
        <v>2</v>
      </c>
      <c r="D6" s="5">
        <v>0.88</v>
      </c>
      <c r="E6" s="1">
        <v>2</v>
      </c>
      <c r="F6" s="5">
        <v>0.90700000000000003</v>
      </c>
      <c r="G6" s="1">
        <v>2</v>
      </c>
      <c r="H6" s="5">
        <v>0.96699999999999997</v>
      </c>
      <c r="I6" s="1">
        <v>69</v>
      </c>
      <c r="J6" s="5">
        <v>0.998</v>
      </c>
      <c r="K6" s="1">
        <v>31</v>
      </c>
      <c r="L6" s="5">
        <v>0.98399999999999999</v>
      </c>
      <c r="M6" s="1">
        <v>14</v>
      </c>
      <c r="N6" s="5">
        <v>0.84599999999999997</v>
      </c>
      <c r="O6" s="1">
        <v>5</v>
      </c>
      <c r="P6" s="5">
        <v>0.78500000000000003</v>
      </c>
      <c r="Q6" s="1">
        <v>61</v>
      </c>
      <c r="R6" s="5">
        <v>0.997</v>
      </c>
      <c r="S6" s="1">
        <v>32</v>
      </c>
      <c r="T6" s="5">
        <v>0.98299999999999998</v>
      </c>
      <c r="U6" s="1">
        <v>42</v>
      </c>
      <c r="V6" s="5">
        <v>0.53100000000000003</v>
      </c>
      <c r="W6" s="1">
        <v>26</v>
      </c>
      <c r="X6" s="2">
        <f t="shared" si="0"/>
        <v>0.87481818181818194</v>
      </c>
    </row>
    <row r="7" spans="1:24" x14ac:dyDescent="0.25">
      <c r="A7" s="3" t="s">
        <v>12</v>
      </c>
      <c r="B7" s="5">
        <v>0.746</v>
      </c>
      <c r="C7" s="1">
        <v>2</v>
      </c>
      <c r="D7" s="5">
        <v>0.876</v>
      </c>
      <c r="E7" s="1">
        <v>11</v>
      </c>
      <c r="F7" s="5">
        <v>0.90600000000000003</v>
      </c>
      <c r="G7" s="1">
        <v>2</v>
      </c>
      <c r="H7" s="5">
        <v>0.96299999999999997</v>
      </c>
      <c r="I7" s="1">
        <v>69</v>
      </c>
      <c r="J7" s="5">
        <v>1</v>
      </c>
      <c r="K7" s="1">
        <v>8</v>
      </c>
      <c r="L7" s="5">
        <v>0.98699999999999999</v>
      </c>
      <c r="M7" s="1">
        <v>9</v>
      </c>
      <c r="N7" s="5">
        <v>0.84699999999999998</v>
      </c>
      <c r="O7" s="1">
        <v>5</v>
      </c>
      <c r="P7" s="5">
        <v>0.78500000000000003</v>
      </c>
      <c r="Q7" s="1">
        <v>65</v>
      </c>
      <c r="R7" s="5">
        <v>0.996</v>
      </c>
      <c r="S7" s="1">
        <v>31</v>
      </c>
      <c r="T7" s="5">
        <v>0.98299999999999998</v>
      </c>
      <c r="U7" s="1">
        <v>40</v>
      </c>
      <c r="V7" s="5">
        <v>0.53400000000000003</v>
      </c>
      <c r="W7" s="1">
        <v>20</v>
      </c>
      <c r="X7" s="2">
        <f t="shared" si="0"/>
        <v>0.87481818181818194</v>
      </c>
    </row>
    <row r="8" spans="1:24" x14ac:dyDescent="0.25">
      <c r="A8" s="3" t="s">
        <v>13</v>
      </c>
      <c r="B8" s="5">
        <v>0.745</v>
      </c>
      <c r="C8" s="1">
        <v>3</v>
      </c>
      <c r="D8" s="5">
        <v>0.876</v>
      </c>
      <c r="E8" s="1">
        <v>2</v>
      </c>
      <c r="F8" s="5">
        <v>0.90700000000000003</v>
      </c>
      <c r="G8" s="1">
        <v>2</v>
      </c>
      <c r="H8" s="5">
        <v>0.96699999999999997</v>
      </c>
      <c r="I8" s="1">
        <v>69</v>
      </c>
      <c r="J8" s="5">
        <v>1</v>
      </c>
      <c r="K8" s="1">
        <v>15</v>
      </c>
      <c r="L8" s="5">
        <v>0.98399999999999999</v>
      </c>
      <c r="M8" s="1">
        <v>11</v>
      </c>
      <c r="N8" s="5">
        <v>0.84499999999999997</v>
      </c>
      <c r="O8" s="1">
        <v>5</v>
      </c>
      <c r="P8" s="5">
        <v>0.78600000000000003</v>
      </c>
      <c r="Q8" s="1">
        <v>68</v>
      </c>
      <c r="R8" s="5">
        <v>0.99299999999999999</v>
      </c>
      <c r="S8" s="1">
        <v>10</v>
      </c>
      <c r="T8" s="5">
        <v>0.97299999999999998</v>
      </c>
      <c r="U8" s="1">
        <v>9</v>
      </c>
      <c r="V8" s="5">
        <v>0.53200000000000003</v>
      </c>
      <c r="W8" s="1">
        <v>20</v>
      </c>
      <c r="X8" s="2">
        <f t="shared" si="0"/>
        <v>0.87345454545454548</v>
      </c>
    </row>
    <row r="9" spans="1:24" x14ac:dyDescent="0.25">
      <c r="A9" s="3" t="s">
        <v>14</v>
      </c>
      <c r="B9" s="5">
        <v>0.745</v>
      </c>
      <c r="C9" s="1">
        <v>3</v>
      </c>
      <c r="D9" s="5">
        <v>0.876</v>
      </c>
      <c r="E9" s="1">
        <v>10</v>
      </c>
      <c r="F9" s="5">
        <v>0.90800000000000003</v>
      </c>
      <c r="G9" s="1">
        <v>2</v>
      </c>
      <c r="H9" s="5">
        <v>0.96699999999999997</v>
      </c>
      <c r="I9" s="1">
        <v>69</v>
      </c>
      <c r="J9" s="5">
        <v>1</v>
      </c>
      <c r="K9" s="1">
        <v>8</v>
      </c>
      <c r="L9" s="5">
        <v>0.98699999999999999</v>
      </c>
      <c r="M9" s="1">
        <v>15</v>
      </c>
      <c r="N9" s="5">
        <v>0.84599999999999997</v>
      </c>
      <c r="O9" s="1">
        <v>5</v>
      </c>
      <c r="P9" s="5">
        <v>0.78600000000000003</v>
      </c>
      <c r="Q9" s="1">
        <v>69</v>
      </c>
      <c r="R9" s="5">
        <v>0.996</v>
      </c>
      <c r="S9" s="1">
        <v>60</v>
      </c>
      <c r="T9" s="5">
        <v>0.98699999999999999</v>
      </c>
      <c r="U9" s="1">
        <v>43</v>
      </c>
      <c r="V9" s="5">
        <v>0.53200000000000003</v>
      </c>
      <c r="W9" s="1">
        <v>26</v>
      </c>
      <c r="X9" s="2">
        <f t="shared" si="0"/>
        <v>0.87545454545454549</v>
      </c>
    </row>
    <row r="10" spans="1:24" x14ac:dyDescent="0.25">
      <c r="A10" s="3" t="s">
        <v>3</v>
      </c>
      <c r="B10" s="5"/>
      <c r="C10" s="1"/>
      <c r="D10" s="5"/>
      <c r="E10" s="1"/>
      <c r="F10" s="5"/>
      <c r="G10" s="1"/>
      <c r="H10" s="5"/>
      <c r="I10" s="1"/>
      <c r="J10" s="5"/>
      <c r="K10" s="1"/>
      <c r="L10" s="5"/>
      <c r="M10" s="1"/>
      <c r="N10" s="5"/>
      <c r="O10" s="1"/>
      <c r="P10" s="5"/>
      <c r="Q10" s="1"/>
      <c r="R10" s="5"/>
      <c r="S10" s="1"/>
      <c r="T10" s="5"/>
      <c r="U10" s="1"/>
      <c r="V10" s="5"/>
      <c r="W10" s="1"/>
      <c r="X10" s="2"/>
    </row>
    <row r="11" spans="1:24" x14ac:dyDescent="0.25">
      <c r="A11" t="s">
        <v>15</v>
      </c>
      <c r="B11" s="5">
        <v>0.74299999999999999</v>
      </c>
      <c r="C11" s="1">
        <v>3</v>
      </c>
      <c r="D11" s="5">
        <v>0.871</v>
      </c>
      <c r="E11" s="1">
        <v>2</v>
      </c>
      <c r="F11" s="5">
        <v>0.90100000000000002</v>
      </c>
      <c r="G11" s="1">
        <v>2</v>
      </c>
      <c r="H11" s="5">
        <v>0.95</v>
      </c>
      <c r="I11" s="1">
        <v>69</v>
      </c>
      <c r="J11" s="5">
        <v>0.99299999999999999</v>
      </c>
      <c r="K11" s="1">
        <v>13</v>
      </c>
      <c r="L11" s="5">
        <v>0.99099999999999999</v>
      </c>
      <c r="M11" s="1">
        <v>12</v>
      </c>
      <c r="N11" s="5">
        <v>0.84199999999999997</v>
      </c>
      <c r="O11" s="1">
        <v>5</v>
      </c>
      <c r="P11" s="5">
        <v>0.78500000000000003</v>
      </c>
      <c r="Q11" s="1">
        <v>62</v>
      </c>
      <c r="R11" s="5">
        <v>0.98799999999999999</v>
      </c>
      <c r="S11" s="1">
        <v>10</v>
      </c>
      <c r="T11" s="5">
        <v>0.98499999999999999</v>
      </c>
      <c r="U11" s="1">
        <v>42</v>
      </c>
      <c r="V11" s="5">
        <v>0.53200000000000003</v>
      </c>
      <c r="W11" s="1">
        <v>14</v>
      </c>
      <c r="X11" s="2">
        <f t="shared" si="0"/>
        <v>0.871</v>
      </c>
    </row>
    <row r="12" spans="1:24" x14ac:dyDescent="0.25">
      <c r="A12" t="s">
        <v>16</v>
      </c>
      <c r="B12" s="5">
        <v>0.74399999999999999</v>
      </c>
      <c r="C12" s="1">
        <v>3</v>
      </c>
      <c r="D12" s="5">
        <v>0.878</v>
      </c>
      <c r="E12" s="1">
        <v>2</v>
      </c>
      <c r="F12" s="5">
        <v>0.90100000000000002</v>
      </c>
      <c r="G12" s="1">
        <v>2</v>
      </c>
      <c r="H12" s="5">
        <v>0.96899999999999997</v>
      </c>
      <c r="I12" s="1">
        <v>69</v>
      </c>
      <c r="J12" s="5">
        <v>1</v>
      </c>
      <c r="K12" s="1">
        <v>38</v>
      </c>
      <c r="L12" s="5">
        <v>0.98399999999999999</v>
      </c>
      <c r="M12" s="1">
        <v>6</v>
      </c>
      <c r="N12" s="5">
        <v>0.84499999999999997</v>
      </c>
      <c r="O12" s="1">
        <v>5</v>
      </c>
      <c r="P12" s="5">
        <v>0.78600000000000003</v>
      </c>
      <c r="Q12" s="1">
        <v>66</v>
      </c>
      <c r="R12" s="5">
        <v>0.998</v>
      </c>
      <c r="S12" s="1">
        <v>30</v>
      </c>
      <c r="T12" s="5">
        <v>0.99</v>
      </c>
      <c r="U12" s="1">
        <v>56</v>
      </c>
      <c r="V12" s="5">
        <v>0.53200000000000003</v>
      </c>
      <c r="W12" s="1">
        <v>26</v>
      </c>
      <c r="X12" s="2">
        <f t="shared" si="0"/>
        <v>0.87518181818181806</v>
      </c>
    </row>
    <row r="13" spans="1:24" x14ac:dyDescent="0.25">
      <c r="A13" t="s">
        <v>17</v>
      </c>
      <c r="B13" s="5">
        <v>0.745</v>
      </c>
      <c r="C13" s="1">
        <v>2</v>
      </c>
      <c r="D13" s="5">
        <v>0.88</v>
      </c>
      <c r="E13" s="1">
        <v>2</v>
      </c>
      <c r="F13" s="5">
        <v>0.90100000000000002</v>
      </c>
      <c r="G13" s="1">
        <v>2</v>
      </c>
      <c r="H13" s="5">
        <v>0.96699999999999997</v>
      </c>
      <c r="I13" s="1">
        <v>69</v>
      </c>
      <c r="J13" s="5">
        <v>1</v>
      </c>
      <c r="K13" s="1">
        <v>8</v>
      </c>
      <c r="L13" s="5">
        <v>0.98299999999999998</v>
      </c>
      <c r="M13" s="1">
        <v>12</v>
      </c>
      <c r="N13" s="5">
        <v>0.82</v>
      </c>
      <c r="O13" s="1">
        <v>5</v>
      </c>
      <c r="P13" s="5">
        <v>0.78600000000000003</v>
      </c>
      <c r="Q13" s="1">
        <v>66</v>
      </c>
      <c r="R13" s="5">
        <v>0.999</v>
      </c>
      <c r="S13" s="1">
        <v>40</v>
      </c>
      <c r="T13" s="5">
        <v>0.98899999999999999</v>
      </c>
      <c r="U13" s="1">
        <v>68</v>
      </c>
      <c r="V13" s="5">
        <v>0.53200000000000003</v>
      </c>
      <c r="W13" s="1">
        <v>26</v>
      </c>
      <c r="X13" s="2">
        <f t="shared" si="0"/>
        <v>0.87290909090909108</v>
      </c>
    </row>
    <row r="14" spans="1:24" x14ac:dyDescent="0.25">
      <c r="A14" t="s">
        <v>18</v>
      </c>
      <c r="B14" s="5">
        <v>0.74399999999999999</v>
      </c>
      <c r="C14" s="1">
        <v>2</v>
      </c>
      <c r="D14" s="5">
        <v>0.875</v>
      </c>
      <c r="E14" s="1">
        <v>10</v>
      </c>
      <c r="F14" s="5">
        <v>0.90100000000000002</v>
      </c>
      <c r="G14" s="1">
        <v>2</v>
      </c>
      <c r="H14" s="5">
        <v>0.96799999999999997</v>
      </c>
      <c r="I14" s="1">
        <v>69</v>
      </c>
      <c r="J14" s="5">
        <v>1</v>
      </c>
      <c r="K14" s="1">
        <v>8</v>
      </c>
      <c r="L14" s="5">
        <v>0.98199999999999998</v>
      </c>
      <c r="M14" s="1">
        <v>9</v>
      </c>
      <c r="N14" s="5">
        <v>0.83899999999999997</v>
      </c>
      <c r="O14" s="1">
        <v>5</v>
      </c>
      <c r="P14" s="5">
        <v>0.78500000000000003</v>
      </c>
      <c r="Q14" s="1">
        <v>67</v>
      </c>
      <c r="R14" s="5">
        <v>0.998</v>
      </c>
      <c r="S14" s="1">
        <v>26</v>
      </c>
      <c r="T14" s="5">
        <v>0.98899999999999999</v>
      </c>
      <c r="U14" s="1">
        <v>64</v>
      </c>
      <c r="V14" s="5">
        <v>0.53300000000000003</v>
      </c>
      <c r="W14" s="1">
        <v>12</v>
      </c>
      <c r="X14" s="2">
        <f t="shared" si="0"/>
        <v>0.87399999999999989</v>
      </c>
    </row>
    <row r="15" spans="1:24" x14ac:dyDescent="0.25">
      <c r="A15" t="s">
        <v>19</v>
      </c>
      <c r="B15" s="5">
        <v>0.745</v>
      </c>
      <c r="C15" s="1">
        <v>3</v>
      </c>
      <c r="D15" s="5">
        <v>0.875</v>
      </c>
      <c r="E15" s="1">
        <v>9</v>
      </c>
      <c r="F15" s="5">
        <v>0.89600000000000002</v>
      </c>
      <c r="G15" s="1">
        <v>5</v>
      </c>
      <c r="H15" s="5">
        <v>0.96699999999999997</v>
      </c>
      <c r="I15" s="1">
        <v>65</v>
      </c>
      <c r="J15" s="5">
        <v>1</v>
      </c>
      <c r="K15" s="1">
        <v>8</v>
      </c>
      <c r="L15" s="5">
        <v>0.98699999999999999</v>
      </c>
      <c r="M15" s="1">
        <v>12</v>
      </c>
      <c r="N15" s="5">
        <v>0.84799999999999998</v>
      </c>
      <c r="O15" s="1">
        <v>5</v>
      </c>
      <c r="P15" s="5">
        <v>0.78500000000000003</v>
      </c>
      <c r="Q15" s="1">
        <v>66</v>
      </c>
      <c r="R15" s="5">
        <v>0.998</v>
      </c>
      <c r="S15" s="1">
        <v>69</v>
      </c>
      <c r="T15" s="5">
        <v>0.98699999999999999</v>
      </c>
      <c r="U15" s="1">
        <v>48</v>
      </c>
      <c r="V15" s="5">
        <v>0.53100000000000003</v>
      </c>
      <c r="W15" s="1">
        <v>20</v>
      </c>
      <c r="X15" s="2">
        <f t="shared" si="0"/>
        <v>0.8744545454545456</v>
      </c>
    </row>
    <row r="16" spans="1:24" x14ac:dyDescent="0.25">
      <c r="A16" t="s">
        <v>20</v>
      </c>
      <c r="B16" s="5">
        <v>0.746</v>
      </c>
      <c r="C16" s="1">
        <v>3</v>
      </c>
      <c r="D16" s="5">
        <v>0.88500000000000001</v>
      </c>
      <c r="E16" s="1">
        <v>2</v>
      </c>
      <c r="F16" s="5">
        <v>0.90100000000000002</v>
      </c>
      <c r="G16" s="1">
        <v>2</v>
      </c>
      <c r="H16" s="5">
        <v>0.96499999999999997</v>
      </c>
      <c r="I16" s="1">
        <v>69</v>
      </c>
      <c r="J16" s="5">
        <v>1</v>
      </c>
      <c r="K16" s="1">
        <v>8</v>
      </c>
      <c r="L16" s="5">
        <v>0.99099999999999999</v>
      </c>
      <c r="M16" s="1">
        <v>12</v>
      </c>
      <c r="N16" s="5">
        <v>0.84499999999999997</v>
      </c>
      <c r="O16" s="1">
        <v>5</v>
      </c>
      <c r="P16" s="5">
        <v>0.78600000000000003</v>
      </c>
      <c r="Q16" s="1">
        <v>66</v>
      </c>
      <c r="R16" s="5">
        <v>0.995</v>
      </c>
      <c r="S16" s="1">
        <v>4</v>
      </c>
      <c r="T16" s="5">
        <v>0.98699999999999999</v>
      </c>
      <c r="U16" s="1">
        <v>25</v>
      </c>
      <c r="V16" s="5">
        <v>0.53100000000000003</v>
      </c>
      <c r="W16" s="1">
        <v>19</v>
      </c>
      <c r="X16" s="2">
        <f t="shared" si="0"/>
        <v>0.87563636363636366</v>
      </c>
    </row>
    <row r="17" spans="1:24" x14ac:dyDescent="0.25">
      <c r="A17" t="s">
        <v>21</v>
      </c>
      <c r="B17" s="5">
        <v>0.74299999999999999</v>
      </c>
      <c r="C17" s="1">
        <v>3</v>
      </c>
      <c r="D17" s="5">
        <v>0.875</v>
      </c>
      <c r="E17" s="1">
        <v>2</v>
      </c>
      <c r="F17" s="5">
        <v>0.90100000000000002</v>
      </c>
      <c r="G17" s="1">
        <v>2</v>
      </c>
      <c r="H17" s="5">
        <v>0.95699999999999996</v>
      </c>
      <c r="I17" s="1">
        <v>69</v>
      </c>
      <c r="J17" s="5">
        <v>0.999</v>
      </c>
      <c r="K17" s="1">
        <v>4</v>
      </c>
      <c r="L17" s="5">
        <v>0.97599999999999998</v>
      </c>
      <c r="M17" s="1">
        <v>6</v>
      </c>
      <c r="N17" s="5">
        <v>0.84799999999999998</v>
      </c>
      <c r="O17" s="1">
        <v>5</v>
      </c>
      <c r="P17" s="5">
        <v>0.78800000000000003</v>
      </c>
      <c r="Q17" s="1">
        <v>66</v>
      </c>
      <c r="R17" s="5">
        <v>0.99</v>
      </c>
      <c r="S17" s="1">
        <v>33</v>
      </c>
      <c r="T17" s="5">
        <v>0.97499999999999998</v>
      </c>
      <c r="U17" s="1">
        <v>20</v>
      </c>
      <c r="V17" s="5">
        <v>0.53200000000000003</v>
      </c>
      <c r="W17" s="1">
        <v>12</v>
      </c>
      <c r="X17" s="2">
        <f t="shared" si="0"/>
        <v>0.8712727272727272</v>
      </c>
    </row>
    <row r="18" spans="1:24" x14ac:dyDescent="0.25">
      <c r="A18" t="s">
        <v>22</v>
      </c>
      <c r="B18" s="5">
        <v>0.74399999999999999</v>
      </c>
      <c r="C18" s="1">
        <v>3</v>
      </c>
      <c r="D18" s="5">
        <v>0.878</v>
      </c>
      <c r="E18" s="1">
        <v>2</v>
      </c>
      <c r="F18" s="5">
        <v>0.90100000000000002</v>
      </c>
      <c r="G18" s="1">
        <v>2</v>
      </c>
      <c r="H18" s="5">
        <v>0.94899999999999995</v>
      </c>
      <c r="I18" s="1">
        <v>69</v>
      </c>
      <c r="J18" s="5">
        <v>1</v>
      </c>
      <c r="K18" s="1">
        <v>26</v>
      </c>
      <c r="L18" s="5">
        <v>0.99099999999999999</v>
      </c>
      <c r="M18" s="1">
        <v>9</v>
      </c>
      <c r="N18" s="5">
        <v>0.84499999999999997</v>
      </c>
      <c r="O18" s="1">
        <v>5</v>
      </c>
      <c r="P18" s="5">
        <v>0.78600000000000003</v>
      </c>
      <c r="Q18" s="1">
        <v>69</v>
      </c>
      <c r="R18" s="5">
        <v>0.998</v>
      </c>
      <c r="S18" s="1">
        <v>69</v>
      </c>
      <c r="T18" s="5">
        <v>0.98699999999999999</v>
      </c>
      <c r="U18" s="1">
        <v>53</v>
      </c>
      <c r="V18" s="5">
        <v>0.53200000000000003</v>
      </c>
      <c r="W18" s="1">
        <v>12</v>
      </c>
      <c r="X18" s="2">
        <f t="shared" si="0"/>
        <v>0.87372727272727257</v>
      </c>
    </row>
    <row r="19" spans="1:24" x14ac:dyDescent="0.25">
      <c r="A19" t="s">
        <v>23</v>
      </c>
      <c r="B19" s="5">
        <v>0.745</v>
      </c>
      <c r="C19" s="1">
        <v>3</v>
      </c>
      <c r="D19" s="5">
        <v>0.879</v>
      </c>
      <c r="E19" s="1">
        <v>2</v>
      </c>
      <c r="F19" s="5">
        <v>0.90100000000000002</v>
      </c>
      <c r="G19" s="1">
        <v>2</v>
      </c>
      <c r="H19" s="5">
        <v>0.96399999999999997</v>
      </c>
      <c r="I19" s="1">
        <v>69</v>
      </c>
      <c r="J19" s="5">
        <v>1</v>
      </c>
      <c r="K19" s="1">
        <v>13</v>
      </c>
      <c r="L19" s="5">
        <v>0.99099999999999999</v>
      </c>
      <c r="M19" s="1">
        <v>12</v>
      </c>
      <c r="N19" s="5">
        <v>0.84299999999999997</v>
      </c>
      <c r="O19" s="1">
        <v>5</v>
      </c>
      <c r="P19" s="5">
        <v>0.78600000000000003</v>
      </c>
      <c r="Q19" s="1">
        <v>62</v>
      </c>
      <c r="R19" s="5">
        <v>0.99199999999999999</v>
      </c>
      <c r="S19" s="1">
        <v>4</v>
      </c>
      <c r="T19" s="5">
        <v>0.98799999999999999</v>
      </c>
      <c r="U19" s="1">
        <v>42</v>
      </c>
      <c r="V19" s="5">
        <v>0.53300000000000003</v>
      </c>
      <c r="W19" s="1">
        <v>19</v>
      </c>
      <c r="X19" s="2">
        <f t="shared" si="0"/>
        <v>0.87472727272727258</v>
      </c>
    </row>
    <row r="20" spans="1:24" x14ac:dyDescent="0.25">
      <c r="A20" t="s">
        <v>24</v>
      </c>
      <c r="B20" s="5">
        <v>0.745</v>
      </c>
      <c r="C20" s="1">
        <v>2</v>
      </c>
      <c r="D20" s="5">
        <v>0.88500000000000001</v>
      </c>
      <c r="E20" s="1">
        <v>2</v>
      </c>
      <c r="F20" s="5">
        <v>0.90100000000000002</v>
      </c>
      <c r="G20" s="1">
        <v>2</v>
      </c>
      <c r="H20" s="5">
        <v>0.96799999999999997</v>
      </c>
      <c r="I20" s="1">
        <v>69</v>
      </c>
      <c r="J20" s="5">
        <v>1</v>
      </c>
      <c r="K20" s="1">
        <v>8</v>
      </c>
      <c r="L20" s="5">
        <v>0.99099999999999999</v>
      </c>
      <c r="M20" s="1">
        <v>14</v>
      </c>
      <c r="N20" s="5">
        <v>0.84099999999999997</v>
      </c>
      <c r="O20" s="1">
        <v>5</v>
      </c>
      <c r="P20" s="5">
        <v>0.78400000000000003</v>
      </c>
      <c r="Q20" s="1">
        <v>56</v>
      </c>
      <c r="R20" s="5">
        <v>0.999</v>
      </c>
      <c r="S20" s="1">
        <v>19</v>
      </c>
      <c r="T20" s="5">
        <v>0.99099999999999999</v>
      </c>
      <c r="U20" s="1">
        <v>50</v>
      </c>
      <c r="V20" s="5">
        <v>0.53600000000000003</v>
      </c>
      <c r="W20" s="1">
        <v>14</v>
      </c>
      <c r="X20" s="2">
        <f t="shared" si="0"/>
        <v>0.87645454545454526</v>
      </c>
    </row>
    <row r="21" spans="1:24" x14ac:dyDescent="0.25">
      <c r="A21" t="s">
        <v>25</v>
      </c>
      <c r="B21" s="5">
        <v>0.745</v>
      </c>
      <c r="C21" s="1">
        <v>3</v>
      </c>
      <c r="D21" s="5">
        <v>0.88</v>
      </c>
      <c r="E21" s="1">
        <v>2</v>
      </c>
      <c r="F21" s="5">
        <v>0.90100000000000002</v>
      </c>
      <c r="G21" s="1">
        <v>2</v>
      </c>
      <c r="H21" s="5">
        <v>0.96499999999999997</v>
      </c>
      <c r="I21" s="1">
        <v>69</v>
      </c>
      <c r="J21" s="5">
        <v>1</v>
      </c>
      <c r="K21" s="1">
        <v>8</v>
      </c>
      <c r="L21" s="5">
        <v>0.97899999999999998</v>
      </c>
      <c r="M21" s="1">
        <v>10</v>
      </c>
      <c r="N21" s="5">
        <v>0.84599999999999997</v>
      </c>
      <c r="O21" s="1">
        <v>5</v>
      </c>
      <c r="P21" s="5">
        <v>0.78400000000000003</v>
      </c>
      <c r="Q21" s="1">
        <v>68</v>
      </c>
      <c r="R21" s="5">
        <v>0.998</v>
      </c>
      <c r="S21" s="1">
        <v>17</v>
      </c>
      <c r="T21" s="5">
        <v>0.99</v>
      </c>
      <c r="U21" s="1">
        <v>63</v>
      </c>
      <c r="V21" s="5">
        <v>0.53200000000000003</v>
      </c>
      <c r="W21" s="1">
        <v>12</v>
      </c>
      <c r="X21" s="2">
        <f t="shared" si="0"/>
        <v>0.87454545454545451</v>
      </c>
    </row>
    <row r="22" spans="1:24" x14ac:dyDescent="0.25">
      <c r="A22" t="s">
        <v>13</v>
      </c>
      <c r="B22" s="5">
        <v>0.73799999999999999</v>
      </c>
      <c r="C22" s="1">
        <v>3</v>
      </c>
      <c r="D22" s="5">
        <v>0.872</v>
      </c>
      <c r="E22" s="1">
        <v>10</v>
      </c>
      <c r="F22" s="5">
        <v>0.90200000000000002</v>
      </c>
      <c r="G22" s="1">
        <v>2</v>
      </c>
      <c r="H22" s="5">
        <v>0.94299999999999995</v>
      </c>
      <c r="I22" s="1">
        <v>69</v>
      </c>
      <c r="J22" s="5">
        <v>1</v>
      </c>
      <c r="K22" s="1">
        <v>8</v>
      </c>
      <c r="L22" s="5">
        <v>0.96799999999999997</v>
      </c>
      <c r="M22" s="1">
        <v>8</v>
      </c>
      <c r="N22" s="5">
        <v>0.84199999999999997</v>
      </c>
      <c r="O22" s="1">
        <v>5</v>
      </c>
      <c r="P22" s="5">
        <v>0.78400000000000003</v>
      </c>
      <c r="Q22" s="1">
        <v>58</v>
      </c>
      <c r="R22" s="5">
        <v>0.96699999999999997</v>
      </c>
      <c r="S22" s="1">
        <v>23</v>
      </c>
      <c r="T22" s="5">
        <v>0.96899999999999997</v>
      </c>
      <c r="U22" s="1">
        <v>39</v>
      </c>
      <c r="V22" s="5">
        <v>0.53200000000000003</v>
      </c>
      <c r="W22" s="1">
        <v>19</v>
      </c>
      <c r="X22" s="2">
        <f t="shared" si="0"/>
        <v>0.86518181818181816</v>
      </c>
    </row>
    <row r="23" spans="1:24" x14ac:dyDescent="0.25">
      <c r="A23" t="s">
        <v>26</v>
      </c>
      <c r="B23" s="5">
        <v>0.745</v>
      </c>
      <c r="C23" s="1">
        <v>3</v>
      </c>
      <c r="D23" s="5">
        <v>0.874</v>
      </c>
      <c r="E23" s="1">
        <v>10</v>
      </c>
      <c r="F23" s="5">
        <v>0.89900000000000002</v>
      </c>
      <c r="G23" s="1">
        <v>2</v>
      </c>
      <c r="H23" s="5">
        <v>0.96899999999999997</v>
      </c>
      <c r="I23" s="1">
        <v>69</v>
      </c>
      <c r="J23" s="5">
        <v>1</v>
      </c>
      <c r="K23" s="1">
        <v>8</v>
      </c>
      <c r="L23" s="5">
        <v>0.99099999999999999</v>
      </c>
      <c r="M23" s="1">
        <v>9</v>
      </c>
      <c r="N23" s="5">
        <v>0.82799999999999996</v>
      </c>
      <c r="O23" s="1">
        <v>5</v>
      </c>
      <c r="P23" s="5">
        <v>0.78500000000000003</v>
      </c>
      <c r="Q23" s="1">
        <v>59</v>
      </c>
      <c r="R23" s="5">
        <v>0.998</v>
      </c>
      <c r="S23" s="1">
        <v>28</v>
      </c>
      <c r="T23" s="5">
        <v>0.98899999999999999</v>
      </c>
      <c r="U23" s="1">
        <v>64</v>
      </c>
      <c r="V23" s="5">
        <v>0.53100000000000003</v>
      </c>
      <c r="W23" s="1">
        <v>20</v>
      </c>
      <c r="X23" s="2">
        <f t="shared" si="0"/>
        <v>0.87354545454545474</v>
      </c>
    </row>
    <row r="24" spans="1:24" x14ac:dyDescent="0.25">
      <c r="A24" t="s">
        <v>14</v>
      </c>
      <c r="B24" s="5">
        <v>0.74299999999999999</v>
      </c>
      <c r="C24" s="1">
        <v>3</v>
      </c>
      <c r="D24" s="5">
        <v>0.877</v>
      </c>
      <c r="E24" s="1">
        <v>2</v>
      </c>
      <c r="F24" s="5">
        <v>0.90100000000000002</v>
      </c>
      <c r="G24" s="1">
        <v>2</v>
      </c>
      <c r="H24" s="5">
        <v>0.95899999999999996</v>
      </c>
      <c r="I24" s="1">
        <v>69</v>
      </c>
      <c r="J24" s="5">
        <v>1</v>
      </c>
      <c r="K24" s="1">
        <v>8</v>
      </c>
      <c r="L24" s="5">
        <v>0.98299999999999998</v>
      </c>
      <c r="M24" s="1">
        <v>9</v>
      </c>
      <c r="N24" s="5">
        <v>0.84599999999999997</v>
      </c>
      <c r="O24" s="1">
        <v>5</v>
      </c>
      <c r="P24" s="5">
        <v>0.78500000000000003</v>
      </c>
      <c r="Q24" s="1">
        <v>67</v>
      </c>
      <c r="R24" s="5">
        <v>0.99199999999999999</v>
      </c>
      <c r="S24" s="1">
        <v>61</v>
      </c>
      <c r="T24" s="5">
        <v>0.98299999999999998</v>
      </c>
      <c r="U24" s="1">
        <v>41</v>
      </c>
      <c r="V24" s="5">
        <v>0.52900000000000003</v>
      </c>
      <c r="W24" s="1">
        <v>21</v>
      </c>
      <c r="X24" s="2">
        <f t="shared" si="0"/>
        <v>0.87254545454545462</v>
      </c>
    </row>
    <row r="25" spans="1:24" x14ac:dyDescent="0.25">
      <c r="A25" t="s">
        <v>7</v>
      </c>
      <c r="B25" s="5"/>
      <c r="C25" s="1"/>
      <c r="D25" s="5"/>
      <c r="E25" s="1"/>
      <c r="F25" s="5"/>
      <c r="G25" s="1"/>
      <c r="H25" s="5"/>
      <c r="I25" s="1"/>
      <c r="J25" s="5"/>
      <c r="K25" s="1"/>
      <c r="L25" s="5"/>
      <c r="M25" s="1"/>
      <c r="N25" s="5"/>
      <c r="O25" s="1"/>
      <c r="P25" s="5"/>
      <c r="Q25" s="1"/>
      <c r="R25" s="5"/>
      <c r="S25" s="1"/>
      <c r="T25" s="5"/>
      <c r="U25" s="1"/>
      <c r="V25" s="5"/>
      <c r="W25" s="1"/>
      <c r="X25" s="2"/>
    </row>
    <row r="26" spans="1:24" x14ac:dyDescent="0.25">
      <c r="A26" t="s">
        <v>4</v>
      </c>
      <c r="B26" s="5">
        <v>0.746</v>
      </c>
      <c r="C26" s="1">
        <v>2</v>
      </c>
      <c r="D26" s="5">
        <v>0.874</v>
      </c>
      <c r="E26" s="1">
        <v>10</v>
      </c>
      <c r="F26" s="5">
        <v>0.89600000000000002</v>
      </c>
      <c r="G26" s="1">
        <v>4</v>
      </c>
      <c r="H26" s="5">
        <v>0.97</v>
      </c>
      <c r="I26" s="1">
        <v>69</v>
      </c>
      <c r="J26" s="5">
        <v>1</v>
      </c>
      <c r="K26" s="1">
        <v>7</v>
      </c>
      <c r="L26" s="5">
        <v>0.99099999999999999</v>
      </c>
      <c r="M26" s="1">
        <v>11</v>
      </c>
      <c r="N26" s="5">
        <v>0.84699999999999998</v>
      </c>
      <c r="O26" s="1">
        <v>4</v>
      </c>
      <c r="P26" s="5">
        <v>0.78600000000000003</v>
      </c>
      <c r="Q26" s="1">
        <v>65</v>
      </c>
      <c r="R26" s="5">
        <v>0.997</v>
      </c>
      <c r="S26" s="1">
        <v>24</v>
      </c>
      <c r="T26" s="5">
        <v>0.99</v>
      </c>
      <c r="U26" s="1">
        <v>69</v>
      </c>
      <c r="V26" s="5">
        <v>0.53100000000000003</v>
      </c>
      <c r="W26" s="1">
        <v>18</v>
      </c>
      <c r="X26" s="2">
        <f t="shared" si="0"/>
        <v>0.87527272727272731</v>
      </c>
    </row>
    <row r="27" spans="1:24" x14ac:dyDescent="0.25">
      <c r="A27" t="s">
        <v>5</v>
      </c>
      <c r="B27" s="5">
        <v>0.81399999999999995</v>
      </c>
      <c r="C27" s="1">
        <v>7</v>
      </c>
      <c r="D27" s="5">
        <v>0.86699999999999999</v>
      </c>
      <c r="E27" s="1">
        <v>13</v>
      </c>
      <c r="F27" s="5">
        <v>0.871</v>
      </c>
      <c r="G27" s="1">
        <v>10</v>
      </c>
      <c r="H27" s="5">
        <v>0.67900000000000005</v>
      </c>
      <c r="I27" s="1">
        <v>45</v>
      </c>
      <c r="J27" s="5">
        <v>1</v>
      </c>
      <c r="K27" s="1">
        <v>47</v>
      </c>
      <c r="L27" s="5">
        <v>0.97099999999999997</v>
      </c>
      <c r="M27" s="1">
        <v>55</v>
      </c>
      <c r="N27" s="5">
        <v>0.84099999999999997</v>
      </c>
      <c r="O27" s="1">
        <v>7</v>
      </c>
      <c r="P27" s="5">
        <v>0.76500000000000001</v>
      </c>
      <c r="Q27" s="1">
        <v>69</v>
      </c>
      <c r="R27" s="5">
        <v>0.997</v>
      </c>
      <c r="S27" s="1">
        <v>65</v>
      </c>
      <c r="T27" s="5">
        <v>0.99099999999999999</v>
      </c>
      <c r="U27" s="1">
        <v>69</v>
      </c>
      <c r="V27" s="5">
        <v>0.52700000000000002</v>
      </c>
      <c r="W27" s="1">
        <v>34</v>
      </c>
      <c r="X27" s="2">
        <f t="shared" si="0"/>
        <v>0.84754545454545438</v>
      </c>
    </row>
    <row r="28" spans="1:24" x14ac:dyDescent="0.25">
      <c r="A28" s="4" t="s">
        <v>27</v>
      </c>
      <c r="B28" s="5">
        <v>0.74860000000000004</v>
      </c>
      <c r="C28" s="1">
        <v>3</v>
      </c>
      <c r="D28" s="5">
        <v>0.87990000000000002</v>
      </c>
      <c r="E28" s="1">
        <v>2</v>
      </c>
      <c r="F28" s="5">
        <v>0.90039999999999998</v>
      </c>
      <c r="G28" s="1">
        <v>2</v>
      </c>
      <c r="H28" s="5">
        <v>0.95399999999999996</v>
      </c>
      <c r="I28" s="1">
        <v>70</v>
      </c>
      <c r="J28" s="5">
        <v>1</v>
      </c>
      <c r="K28" s="1">
        <v>3</v>
      </c>
      <c r="L28" s="5">
        <v>0.99129999999999996</v>
      </c>
      <c r="M28" s="1">
        <v>21</v>
      </c>
      <c r="N28" s="5">
        <v>0.78</v>
      </c>
      <c r="O28" s="1">
        <v>14</v>
      </c>
      <c r="P28" s="5">
        <v>0.77769999999999995</v>
      </c>
      <c r="Q28" s="1">
        <v>70</v>
      </c>
      <c r="R28" s="5">
        <v>0.99719999999999998</v>
      </c>
      <c r="S28" s="1">
        <v>22</v>
      </c>
      <c r="T28" s="5">
        <v>0.98709999999999998</v>
      </c>
      <c r="U28" s="1">
        <v>57</v>
      </c>
      <c r="V28" s="5">
        <v>0.52700000000000002</v>
      </c>
      <c r="W28" s="1">
        <v>29</v>
      </c>
      <c r="X28" s="2">
        <f t="shared" si="0"/>
        <v>0.8675636363636362</v>
      </c>
    </row>
    <row r="29" spans="1:24" x14ac:dyDescent="0.25">
      <c r="A29" s="4" t="s">
        <v>28</v>
      </c>
      <c r="B29" s="5">
        <v>0.83450000000000002</v>
      </c>
      <c r="C29" s="1">
        <v>10</v>
      </c>
      <c r="D29" s="5">
        <v>0.85089999999999999</v>
      </c>
      <c r="E29" s="1">
        <v>20</v>
      </c>
      <c r="F29" s="5">
        <v>0.86380000000000001</v>
      </c>
      <c r="G29" s="1">
        <v>16</v>
      </c>
      <c r="H29" s="5">
        <v>0.66520000000000001</v>
      </c>
      <c r="I29" s="1">
        <v>61</v>
      </c>
      <c r="J29" s="5">
        <v>0.99880000000000002</v>
      </c>
      <c r="K29" s="1">
        <v>59</v>
      </c>
      <c r="L29" s="5">
        <v>0.96240000000000003</v>
      </c>
      <c r="M29" s="1">
        <v>70</v>
      </c>
      <c r="N29" s="5">
        <v>0.82079999999999997</v>
      </c>
      <c r="O29" s="1">
        <v>11</v>
      </c>
      <c r="P29" s="5">
        <v>0.72589999999999999</v>
      </c>
      <c r="Q29" s="1">
        <v>70</v>
      </c>
      <c r="R29" s="5">
        <v>0.9728</v>
      </c>
      <c r="S29" s="1">
        <v>70</v>
      </c>
      <c r="T29" s="5">
        <v>0.98380000000000001</v>
      </c>
      <c r="U29" s="1">
        <v>69</v>
      </c>
      <c r="V29" s="5">
        <v>0.49609999999999999</v>
      </c>
      <c r="W29" s="1">
        <v>61</v>
      </c>
      <c r="X29" s="2">
        <f>AVERAGE(B29,D29,F29,H29,J29,L29,N29,P29,R29,T29,V29)</f>
        <v>0.83409090909090911</v>
      </c>
    </row>
    <row r="30" spans="1:24" x14ac:dyDescent="0.25">
      <c r="A30" s="4" t="s">
        <v>33</v>
      </c>
      <c r="B30" s="5">
        <v>0.75239999999999996</v>
      </c>
      <c r="C30" s="1">
        <v>9</v>
      </c>
      <c r="D30" s="5">
        <v>0.78100000000000003</v>
      </c>
      <c r="E30" s="1">
        <v>26</v>
      </c>
      <c r="F30" s="5">
        <v>0.83220000000000005</v>
      </c>
      <c r="G30" s="1">
        <v>50</v>
      </c>
      <c r="H30" s="5">
        <v>0.77090000000000003</v>
      </c>
      <c r="I30" s="1">
        <v>70</v>
      </c>
      <c r="J30" s="5">
        <v>0.99650000000000005</v>
      </c>
      <c r="K30" s="1">
        <v>44</v>
      </c>
      <c r="L30" s="5">
        <v>0.72919999999999996</v>
      </c>
      <c r="M30" s="1">
        <v>70</v>
      </c>
      <c r="N30" s="5">
        <v>0.77980000000000005</v>
      </c>
      <c r="O30" s="1">
        <v>22</v>
      </c>
      <c r="P30" s="5">
        <v>0.69589999999999996</v>
      </c>
      <c r="Q30" s="1">
        <v>67</v>
      </c>
      <c r="R30" s="5">
        <v>0.94369999999999998</v>
      </c>
      <c r="S30" s="1">
        <v>70</v>
      </c>
      <c r="T30" s="5">
        <v>0.97960000000000003</v>
      </c>
      <c r="U30" s="1">
        <v>70</v>
      </c>
      <c r="V30" s="5">
        <v>0.50180000000000002</v>
      </c>
      <c r="W30" s="1">
        <v>61</v>
      </c>
      <c r="X30" s="2">
        <f t="shared" si="0"/>
        <v>0.79663636363636348</v>
      </c>
    </row>
    <row r="31" spans="1:24" x14ac:dyDescent="0.25">
      <c r="A31" s="4" t="s">
        <v>29</v>
      </c>
      <c r="B31" s="5">
        <v>0.74619999999999997</v>
      </c>
      <c r="C31" s="1">
        <v>3</v>
      </c>
      <c r="D31" s="5">
        <v>0.87990000000000002</v>
      </c>
      <c r="E31" s="1">
        <v>2</v>
      </c>
      <c r="F31" s="5">
        <v>0.90039999999999998</v>
      </c>
      <c r="G31" s="1">
        <v>2</v>
      </c>
      <c r="H31" s="5">
        <v>0.97009999999999996</v>
      </c>
      <c r="I31" s="1">
        <v>70</v>
      </c>
      <c r="J31" s="5">
        <v>1</v>
      </c>
      <c r="K31" s="1">
        <v>8</v>
      </c>
      <c r="L31" s="5">
        <v>0.99119999999999997</v>
      </c>
      <c r="M31" s="1">
        <v>12</v>
      </c>
      <c r="N31" s="5">
        <v>0.8468</v>
      </c>
      <c r="O31" s="1">
        <v>5</v>
      </c>
      <c r="P31" s="5">
        <v>0.78569999999999995</v>
      </c>
      <c r="Q31" s="1">
        <v>66</v>
      </c>
      <c r="R31" s="5">
        <v>0.99739999999999995</v>
      </c>
      <c r="S31" s="1">
        <v>25</v>
      </c>
      <c r="T31" s="5">
        <v>0.98960000000000004</v>
      </c>
      <c r="U31" s="1">
        <v>70</v>
      </c>
      <c r="V31" s="5">
        <v>0.53100000000000003</v>
      </c>
      <c r="W31" s="1">
        <v>19</v>
      </c>
      <c r="X31" s="2">
        <f t="shared" si="0"/>
        <v>0.87620909090909105</v>
      </c>
    </row>
    <row r="32" spans="1:24" x14ac:dyDescent="0.25">
      <c r="A32" t="s">
        <v>34</v>
      </c>
      <c r="B32" s="5">
        <v>0.76659200000000005</v>
      </c>
      <c r="C32" s="1">
        <v>14</v>
      </c>
      <c r="D32" s="5">
        <v>0.5</v>
      </c>
      <c r="E32" s="1">
        <v>2</v>
      </c>
      <c r="F32" s="5">
        <v>0.92074100000000003</v>
      </c>
      <c r="G32" s="1">
        <v>69</v>
      </c>
      <c r="H32" s="5">
        <v>0.58969300000000002</v>
      </c>
      <c r="I32" s="1">
        <v>70</v>
      </c>
      <c r="J32" s="5">
        <v>0.991784</v>
      </c>
      <c r="K32" s="1">
        <v>60</v>
      </c>
      <c r="L32" s="5">
        <v>0.5</v>
      </c>
      <c r="M32" s="1">
        <v>2</v>
      </c>
      <c r="N32" s="5">
        <v>0.5</v>
      </c>
      <c r="O32" s="1">
        <v>2</v>
      </c>
      <c r="P32" s="5">
        <v>0.52307199999999998</v>
      </c>
      <c r="Q32" s="1">
        <v>5</v>
      </c>
      <c r="R32" s="5">
        <v>0.76291100000000001</v>
      </c>
      <c r="S32" s="1">
        <v>13</v>
      </c>
      <c r="T32" s="5">
        <v>0.5</v>
      </c>
      <c r="U32" s="1">
        <v>2</v>
      </c>
      <c r="V32" s="5">
        <v>0.54515999999999998</v>
      </c>
      <c r="W32" s="1">
        <v>4</v>
      </c>
      <c r="X32" s="2">
        <f>AVERAGE(B32,D32,F32,H32,J32,L32,N32,P32,R32,T32,V32)</f>
        <v>0.64545027272727273</v>
      </c>
    </row>
    <row r="33" spans="1:24" x14ac:dyDescent="0.25">
      <c r="A33" s="4" t="s">
        <v>30</v>
      </c>
      <c r="B33" s="5">
        <v>0.52259999999999995</v>
      </c>
      <c r="C33" s="1">
        <v>62</v>
      </c>
      <c r="D33" s="5">
        <v>0.83960000000000001</v>
      </c>
      <c r="E33" s="1">
        <v>19</v>
      </c>
      <c r="F33" s="5">
        <v>0.86250000000000004</v>
      </c>
      <c r="G33" s="1">
        <v>70</v>
      </c>
      <c r="H33" s="5">
        <v>0.5</v>
      </c>
      <c r="I33" s="1">
        <v>2</v>
      </c>
      <c r="J33" s="5">
        <v>0.82750000000000001</v>
      </c>
      <c r="K33" s="1">
        <v>33</v>
      </c>
      <c r="L33" s="5">
        <v>0.8669</v>
      </c>
      <c r="M33" s="1">
        <v>59</v>
      </c>
      <c r="N33" s="5">
        <v>0.77300000000000002</v>
      </c>
      <c r="O33" s="1">
        <v>48</v>
      </c>
      <c r="P33" s="5">
        <v>0.65139999999999998</v>
      </c>
      <c r="Q33" s="1">
        <v>70</v>
      </c>
      <c r="R33" s="5">
        <v>0.97540000000000004</v>
      </c>
      <c r="S33" s="1">
        <v>11</v>
      </c>
      <c r="T33" s="5">
        <v>0.90080000000000005</v>
      </c>
      <c r="U33" s="1">
        <v>69</v>
      </c>
      <c r="V33" s="5">
        <v>0.57130000000000003</v>
      </c>
      <c r="W33" s="1">
        <v>34</v>
      </c>
      <c r="X33" s="2">
        <f t="shared" si="0"/>
        <v>0.7537272727272728</v>
      </c>
    </row>
    <row r="34" spans="1:24" x14ac:dyDescent="0.25">
      <c r="A34" s="4" t="s">
        <v>31</v>
      </c>
      <c r="B34" s="5">
        <v>0.74860000000000004</v>
      </c>
      <c r="C34" s="1">
        <v>3</v>
      </c>
      <c r="D34" s="5">
        <v>0.87990000000000002</v>
      </c>
      <c r="E34" s="1">
        <v>2</v>
      </c>
      <c r="F34" s="5">
        <v>0.90039999999999998</v>
      </c>
      <c r="G34" s="1">
        <v>2</v>
      </c>
      <c r="H34" s="5">
        <v>0.95399999999999996</v>
      </c>
      <c r="I34" s="1">
        <v>70</v>
      </c>
      <c r="J34" s="5">
        <v>1</v>
      </c>
      <c r="K34" s="1">
        <v>3</v>
      </c>
      <c r="L34" s="5">
        <v>0.99129999999999996</v>
      </c>
      <c r="M34" s="1">
        <v>21</v>
      </c>
      <c r="N34" s="5">
        <v>0.78</v>
      </c>
      <c r="O34" s="1">
        <v>14</v>
      </c>
      <c r="P34" s="5">
        <v>0.77769999999999995</v>
      </c>
      <c r="Q34" s="1">
        <v>70</v>
      </c>
      <c r="R34" s="5">
        <v>0.99719999999999998</v>
      </c>
      <c r="S34" s="1">
        <v>22</v>
      </c>
      <c r="T34" s="5">
        <v>0.98709999999999998</v>
      </c>
      <c r="U34" s="1">
        <v>57</v>
      </c>
      <c r="V34" s="5">
        <v>0.52700000000000002</v>
      </c>
      <c r="W34" s="1">
        <v>29</v>
      </c>
      <c r="X34" s="2">
        <f t="shared" si="0"/>
        <v>0.8675636363636362</v>
      </c>
    </row>
    <row r="35" spans="1:24" x14ac:dyDescent="0.25">
      <c r="A35" s="4" t="s">
        <v>32</v>
      </c>
      <c r="B35" s="5">
        <v>0.83599999999999997</v>
      </c>
      <c r="C35" s="1">
        <v>10</v>
      </c>
      <c r="D35" s="5">
        <v>0.83789999999999998</v>
      </c>
      <c r="E35" s="1">
        <v>18</v>
      </c>
      <c r="F35" s="5">
        <v>0.86060000000000003</v>
      </c>
      <c r="G35" s="1">
        <v>16</v>
      </c>
      <c r="H35" s="5">
        <v>0.66459999999999997</v>
      </c>
      <c r="I35" s="1">
        <v>54</v>
      </c>
      <c r="J35" s="5">
        <v>0.99880000000000002</v>
      </c>
      <c r="K35" s="1">
        <v>59</v>
      </c>
      <c r="L35" s="5">
        <v>0.96950000000000003</v>
      </c>
      <c r="M35" s="1">
        <v>70</v>
      </c>
      <c r="N35" s="5">
        <v>0.77839999999999998</v>
      </c>
      <c r="O35" s="1">
        <v>10</v>
      </c>
      <c r="P35" s="5">
        <v>0.71499999999999997</v>
      </c>
      <c r="Q35" s="1">
        <v>70</v>
      </c>
      <c r="R35" s="5">
        <v>0.99480000000000002</v>
      </c>
      <c r="S35" s="1">
        <v>67</v>
      </c>
      <c r="T35" s="5">
        <v>0.98909999999999998</v>
      </c>
      <c r="U35" s="1">
        <v>70</v>
      </c>
      <c r="V35" s="5">
        <v>0.49270000000000003</v>
      </c>
      <c r="W35" s="1">
        <v>57</v>
      </c>
      <c r="X35" s="2">
        <f t="shared" si="0"/>
        <v>0.83067272727272723</v>
      </c>
    </row>
    <row r="36" spans="1:24" x14ac:dyDescent="0.25">
      <c r="A36" t="s">
        <v>6</v>
      </c>
      <c r="B36" s="5">
        <v>0.76844500000000004</v>
      </c>
      <c r="C36" s="1">
        <v>30</v>
      </c>
      <c r="D36" s="5">
        <v>0.89864500000000003</v>
      </c>
      <c r="E36" s="1">
        <v>62</v>
      </c>
      <c r="F36" s="5">
        <v>0.88017599999999996</v>
      </c>
      <c r="G36" s="1">
        <v>13</v>
      </c>
      <c r="H36" s="5">
        <v>0.60570900000000005</v>
      </c>
      <c r="I36" s="1">
        <v>69</v>
      </c>
      <c r="J36" s="5">
        <v>0.96478900000000001</v>
      </c>
      <c r="K36" s="1">
        <v>14</v>
      </c>
      <c r="L36" s="5">
        <v>0.98293600000000003</v>
      </c>
      <c r="M36" s="1">
        <v>69</v>
      </c>
      <c r="N36" s="5">
        <v>0.63023099999999999</v>
      </c>
      <c r="O36" s="1">
        <v>64</v>
      </c>
      <c r="P36" s="5">
        <v>0.76250399999999996</v>
      </c>
      <c r="Q36" s="1">
        <v>58</v>
      </c>
      <c r="R36" s="5">
        <v>0.98967099999999997</v>
      </c>
      <c r="S36" s="1">
        <v>58</v>
      </c>
      <c r="T36" s="5">
        <v>0.97703099999999998</v>
      </c>
      <c r="U36" s="1">
        <v>64</v>
      </c>
      <c r="V36" s="5">
        <v>0.50641099999999994</v>
      </c>
      <c r="W36" s="1">
        <v>47</v>
      </c>
      <c r="X36" s="2">
        <f>AVERAGE(B36,D36,F36,H36,J36,L36,N36,P36,R36,T36,V36)</f>
        <v>0.81514072727272724</v>
      </c>
    </row>
    <row r="37" spans="1:24" x14ac:dyDescent="0.25">
      <c r="A37" t="s">
        <v>8</v>
      </c>
      <c r="B37" s="5"/>
      <c r="C37" s="1"/>
      <c r="D37" s="5"/>
      <c r="E37" s="1"/>
      <c r="F37" s="5"/>
      <c r="G37" s="1"/>
      <c r="H37" s="5"/>
      <c r="I37" s="1"/>
      <c r="J37" s="5"/>
      <c r="K37" s="1"/>
      <c r="L37" s="5"/>
      <c r="M37" s="1"/>
      <c r="N37" s="5"/>
      <c r="O37" s="1"/>
      <c r="P37" s="5"/>
      <c r="Q37" s="1"/>
      <c r="R37" s="5"/>
      <c r="S37" s="1"/>
      <c r="T37" s="5"/>
      <c r="U37" s="1"/>
      <c r="V37" s="5"/>
      <c r="W37" s="1"/>
      <c r="X37" s="2"/>
    </row>
    <row r="38" spans="1:24" x14ac:dyDescent="0.25">
      <c r="A38" s="4" t="s">
        <v>4</v>
      </c>
      <c r="B38" s="8">
        <v>0.74061999999999995</v>
      </c>
      <c r="C38" s="9">
        <v>1</v>
      </c>
      <c r="D38" s="8">
        <v>0.87480000000000002</v>
      </c>
      <c r="E38" s="9">
        <v>8</v>
      </c>
      <c r="F38" s="8">
        <v>0.92737000000000003</v>
      </c>
      <c r="G38" s="9">
        <v>1</v>
      </c>
      <c r="H38" s="8">
        <v>0.98973999999999995</v>
      </c>
      <c r="I38" s="9">
        <v>89</v>
      </c>
      <c r="J38" s="8">
        <v>1</v>
      </c>
      <c r="K38" s="9">
        <v>14</v>
      </c>
      <c r="L38" s="8">
        <v>0.99212</v>
      </c>
      <c r="M38" s="9">
        <v>12</v>
      </c>
      <c r="N38" s="8">
        <v>0.81762000000000001</v>
      </c>
      <c r="O38" s="9">
        <v>3</v>
      </c>
      <c r="P38" s="8">
        <v>0.77551000000000003</v>
      </c>
      <c r="Q38" s="9">
        <v>77</v>
      </c>
      <c r="R38" s="8">
        <v>0.99717999999999996</v>
      </c>
      <c r="S38" s="9">
        <v>19</v>
      </c>
      <c r="T38" s="8">
        <v>0.98626999999999998</v>
      </c>
      <c r="U38" s="9">
        <v>90</v>
      </c>
      <c r="V38" s="8">
        <v>0.54093000000000002</v>
      </c>
      <c r="W38" s="9">
        <v>12</v>
      </c>
      <c r="X38" s="2">
        <f t="shared" si="0"/>
        <v>0.87655999999999967</v>
      </c>
    </row>
    <row r="39" spans="1:24" x14ac:dyDescent="0.25">
      <c r="A39" s="4" t="s">
        <v>5</v>
      </c>
      <c r="B39" s="8">
        <v>0.78227999999999998</v>
      </c>
      <c r="C39" s="9">
        <v>9</v>
      </c>
      <c r="D39" s="8">
        <v>0.86667000000000005</v>
      </c>
      <c r="E39" s="9">
        <v>11</v>
      </c>
      <c r="F39" s="8">
        <v>0.90427000000000002</v>
      </c>
      <c r="G39" s="9">
        <v>83</v>
      </c>
      <c r="H39" s="8">
        <v>0.84894000000000003</v>
      </c>
      <c r="I39" s="9">
        <v>100</v>
      </c>
      <c r="J39" s="8">
        <v>1</v>
      </c>
      <c r="K39" s="9">
        <v>62</v>
      </c>
      <c r="L39" s="8">
        <v>0.96580999999999995</v>
      </c>
      <c r="M39" s="9">
        <v>73</v>
      </c>
      <c r="N39" s="8">
        <v>0.78208</v>
      </c>
      <c r="O39" s="9">
        <v>6</v>
      </c>
      <c r="P39" s="8">
        <v>0.75600000000000001</v>
      </c>
      <c r="Q39" s="9">
        <v>96</v>
      </c>
      <c r="R39" s="8">
        <v>0.99670999999999998</v>
      </c>
      <c r="S39" s="9">
        <v>98</v>
      </c>
      <c r="T39" s="8">
        <v>0.98907999999999996</v>
      </c>
      <c r="U39" s="9">
        <v>89</v>
      </c>
      <c r="V39" s="8">
        <v>0.52542999999999995</v>
      </c>
      <c r="W39" s="9">
        <v>24</v>
      </c>
      <c r="X39" s="2">
        <f t="shared" si="0"/>
        <v>0.85611545454545457</v>
      </c>
    </row>
    <row r="40" spans="1:24" x14ac:dyDescent="0.25">
      <c r="A40" s="4" t="s">
        <v>27</v>
      </c>
      <c r="B40" s="8">
        <v>0.79564999999999997</v>
      </c>
      <c r="C40" s="9">
        <v>16</v>
      </c>
      <c r="D40" s="8">
        <v>0.86504000000000003</v>
      </c>
      <c r="E40" s="9">
        <v>16</v>
      </c>
      <c r="F40" s="8">
        <v>0.90503999999999996</v>
      </c>
      <c r="G40" s="9">
        <v>10</v>
      </c>
      <c r="H40" s="8">
        <v>0.66796</v>
      </c>
      <c r="I40" s="9">
        <v>62</v>
      </c>
      <c r="J40" s="8">
        <v>1</v>
      </c>
      <c r="K40" s="9">
        <v>98</v>
      </c>
      <c r="L40" s="8">
        <v>0.96679999999999999</v>
      </c>
      <c r="M40" s="9">
        <v>67</v>
      </c>
      <c r="N40" s="8">
        <v>0.76607999999999998</v>
      </c>
      <c r="O40" s="9">
        <v>99</v>
      </c>
      <c r="P40" s="8">
        <v>0.72948000000000002</v>
      </c>
      <c r="Q40" s="9">
        <v>100</v>
      </c>
      <c r="R40" s="8">
        <v>0.99390000000000001</v>
      </c>
      <c r="S40" s="9">
        <v>99</v>
      </c>
      <c r="T40" s="8">
        <v>0.98682999999999998</v>
      </c>
      <c r="U40" s="9">
        <v>90</v>
      </c>
      <c r="V40" s="8">
        <v>0.50183</v>
      </c>
      <c r="W40" s="9">
        <v>1</v>
      </c>
      <c r="X40" s="2">
        <f t="shared" si="0"/>
        <v>0.83441909090909083</v>
      </c>
    </row>
    <row r="41" spans="1:24" x14ac:dyDescent="0.25">
      <c r="A41" s="4" t="s">
        <v>28</v>
      </c>
      <c r="B41" s="8">
        <v>0.80081000000000002</v>
      </c>
      <c r="C41" s="9">
        <v>12</v>
      </c>
      <c r="D41" s="8">
        <v>0.83957000000000004</v>
      </c>
      <c r="E41" s="9">
        <v>18</v>
      </c>
      <c r="F41" s="8">
        <v>0.90210000000000001</v>
      </c>
      <c r="G41" s="9">
        <v>11</v>
      </c>
      <c r="H41" s="8">
        <v>0.70313000000000003</v>
      </c>
      <c r="I41" s="9">
        <v>65</v>
      </c>
      <c r="J41" s="8">
        <v>0.99765000000000004</v>
      </c>
      <c r="K41" s="9">
        <v>47</v>
      </c>
      <c r="L41" s="8">
        <v>0.96231</v>
      </c>
      <c r="M41" s="9">
        <v>98</v>
      </c>
      <c r="N41" s="8">
        <v>0.76400000000000001</v>
      </c>
      <c r="O41" s="9">
        <v>99</v>
      </c>
      <c r="P41" s="8">
        <v>0.72367999999999999</v>
      </c>
      <c r="Q41" s="9">
        <v>100</v>
      </c>
      <c r="R41" s="8">
        <v>0.98028000000000004</v>
      </c>
      <c r="S41" s="9">
        <v>99</v>
      </c>
      <c r="T41" s="8">
        <v>0.98402999999999996</v>
      </c>
      <c r="U41" s="9">
        <v>100</v>
      </c>
      <c r="V41" s="8">
        <v>0.50183</v>
      </c>
      <c r="W41" s="9">
        <v>1</v>
      </c>
      <c r="X41" s="2">
        <f t="shared" si="0"/>
        <v>0.83267181818181824</v>
      </c>
    </row>
    <row r="42" spans="1:24" x14ac:dyDescent="0.25">
      <c r="A42" s="4" t="s">
        <v>33</v>
      </c>
      <c r="B42" s="5"/>
      <c r="C42" s="1"/>
      <c r="D42" s="8">
        <v>0.77886</v>
      </c>
      <c r="E42" s="9">
        <v>27</v>
      </c>
      <c r="F42" s="8">
        <v>0.89607999999999999</v>
      </c>
      <c r="G42" s="9">
        <v>14</v>
      </c>
      <c r="H42" s="5"/>
      <c r="I42" s="1"/>
      <c r="J42" s="8">
        <v>0.99765000000000004</v>
      </c>
      <c r="K42" s="9">
        <v>86</v>
      </c>
      <c r="L42" s="8">
        <v>0.75034000000000001</v>
      </c>
      <c r="M42" s="9">
        <v>91</v>
      </c>
      <c r="N42" s="8">
        <v>0.84753999999999996</v>
      </c>
      <c r="O42" s="9">
        <v>15</v>
      </c>
      <c r="P42" s="8">
        <v>0.68823999999999996</v>
      </c>
      <c r="Q42" s="9">
        <v>100</v>
      </c>
      <c r="R42" s="8">
        <v>0.96526000000000001</v>
      </c>
      <c r="S42" s="9">
        <v>99</v>
      </c>
      <c r="T42" s="8">
        <v>0.98179000000000005</v>
      </c>
      <c r="U42" s="9">
        <v>99</v>
      </c>
      <c r="V42" s="8">
        <v>0.56559000000000004</v>
      </c>
      <c r="W42" s="9">
        <v>7</v>
      </c>
      <c r="X42" s="2">
        <f t="shared" si="0"/>
        <v>0.83015000000000005</v>
      </c>
    </row>
    <row r="43" spans="1:24" x14ac:dyDescent="0.25">
      <c r="A43" s="4" t="s">
        <v>29</v>
      </c>
      <c r="B43" s="8">
        <v>0.80501999999999996</v>
      </c>
      <c r="C43" s="9">
        <v>11</v>
      </c>
      <c r="D43" s="8">
        <v>0.72926999999999997</v>
      </c>
      <c r="E43" s="9">
        <v>18</v>
      </c>
      <c r="F43" s="8">
        <v>0.85224</v>
      </c>
      <c r="G43" s="9">
        <v>13</v>
      </c>
      <c r="H43" s="8">
        <v>0.80767</v>
      </c>
      <c r="I43" s="9">
        <v>100</v>
      </c>
      <c r="J43" s="8">
        <v>0.99883</v>
      </c>
      <c r="K43" s="9">
        <v>55</v>
      </c>
      <c r="L43" s="8">
        <v>0.96431999999999995</v>
      </c>
      <c r="M43" s="9">
        <v>100</v>
      </c>
      <c r="N43" s="8">
        <v>0.78900000000000003</v>
      </c>
      <c r="O43" s="9">
        <v>8</v>
      </c>
      <c r="P43" s="8">
        <v>0.69677999999999995</v>
      </c>
      <c r="Q43" s="9">
        <v>100</v>
      </c>
      <c r="R43" s="8">
        <v>0.96736999999999995</v>
      </c>
      <c r="S43" s="9">
        <v>100</v>
      </c>
      <c r="T43" s="8">
        <v>0.97226999999999997</v>
      </c>
      <c r="U43" s="9">
        <v>93</v>
      </c>
      <c r="V43" s="8">
        <v>0.50726000000000004</v>
      </c>
      <c r="W43" s="9">
        <v>1</v>
      </c>
      <c r="X43" s="2">
        <f t="shared" si="0"/>
        <v>0.82636636363636373</v>
      </c>
    </row>
    <row r="44" spans="1:24" x14ac:dyDescent="0.25">
      <c r="A44" s="4" t="s">
        <v>34</v>
      </c>
      <c r="B44" s="5"/>
      <c r="C44" s="1"/>
      <c r="D44" s="8">
        <v>0.85799000000000003</v>
      </c>
      <c r="E44" s="9">
        <v>98</v>
      </c>
      <c r="F44" s="8">
        <v>0.91332999999999998</v>
      </c>
      <c r="G44" s="9">
        <v>3</v>
      </c>
      <c r="H44" s="5"/>
      <c r="I44" s="1"/>
      <c r="J44" s="8">
        <v>0.99765000000000004</v>
      </c>
      <c r="K44" s="9">
        <v>25</v>
      </c>
      <c r="L44" s="8">
        <v>0.97979000000000005</v>
      </c>
      <c r="M44" s="9">
        <v>100</v>
      </c>
      <c r="N44" s="8">
        <v>0.95459000000000005</v>
      </c>
      <c r="O44" s="9">
        <v>6</v>
      </c>
      <c r="P44" s="8">
        <v>0.67308999999999997</v>
      </c>
      <c r="Q44" s="9">
        <v>40</v>
      </c>
      <c r="R44" s="8">
        <v>0.99483999999999995</v>
      </c>
      <c r="S44" s="9">
        <v>49</v>
      </c>
      <c r="T44" s="8">
        <v>0.98263</v>
      </c>
      <c r="U44" s="9">
        <v>97</v>
      </c>
      <c r="V44" s="8">
        <v>0.53417000000000003</v>
      </c>
      <c r="W44" s="9">
        <v>40</v>
      </c>
      <c r="X44" s="2">
        <f t="shared" si="0"/>
        <v>0.87645333333333342</v>
      </c>
    </row>
    <row r="45" spans="1:24" x14ac:dyDescent="0.25">
      <c r="A45" s="4" t="s">
        <v>30</v>
      </c>
      <c r="B45" s="8">
        <v>0.77258000000000004</v>
      </c>
      <c r="C45" s="9">
        <v>99</v>
      </c>
      <c r="D45" s="8">
        <v>0.74200999999999995</v>
      </c>
      <c r="E45" s="9">
        <v>28</v>
      </c>
      <c r="F45" s="8">
        <v>0.83399999999999996</v>
      </c>
      <c r="G45" s="9">
        <v>71</v>
      </c>
      <c r="H45" s="8">
        <v>0.60509999999999997</v>
      </c>
      <c r="I45" s="9">
        <v>68</v>
      </c>
      <c r="J45" s="8">
        <v>0.98121999999999998</v>
      </c>
      <c r="K45" s="9">
        <v>99</v>
      </c>
      <c r="L45" s="8">
        <v>0.82213999999999998</v>
      </c>
      <c r="M45" s="9">
        <v>98</v>
      </c>
      <c r="N45" s="8">
        <v>0.66554000000000002</v>
      </c>
      <c r="O45" s="9">
        <v>94</v>
      </c>
      <c r="P45" s="8">
        <v>0.59240000000000004</v>
      </c>
      <c r="Q45" s="9">
        <v>99</v>
      </c>
      <c r="R45" s="8">
        <v>0.64788999999999997</v>
      </c>
      <c r="S45" s="9">
        <v>5</v>
      </c>
      <c r="T45" s="8">
        <v>0.86106000000000005</v>
      </c>
      <c r="U45" s="9">
        <v>80</v>
      </c>
      <c r="V45" s="8">
        <v>0.51853000000000005</v>
      </c>
      <c r="W45" s="9">
        <v>2</v>
      </c>
      <c r="X45" s="2">
        <f t="shared" si="0"/>
        <v>0.73113363636363637</v>
      </c>
    </row>
    <row r="46" spans="1:24" x14ac:dyDescent="0.25">
      <c r="A46" s="4" t="s">
        <v>31</v>
      </c>
      <c r="B46" s="8">
        <v>0.74621000000000004</v>
      </c>
      <c r="C46" s="9">
        <v>9</v>
      </c>
      <c r="D46" s="8">
        <v>0.90351999999999999</v>
      </c>
      <c r="E46" s="9">
        <v>9</v>
      </c>
      <c r="F46" s="8">
        <v>0.91668000000000005</v>
      </c>
      <c r="G46" s="9">
        <v>50</v>
      </c>
      <c r="H46" s="8">
        <v>0.87695999999999996</v>
      </c>
      <c r="I46" s="9">
        <v>90</v>
      </c>
      <c r="J46" s="8">
        <v>1</v>
      </c>
      <c r="K46" s="9">
        <v>13</v>
      </c>
      <c r="L46" s="8">
        <v>0.97790999999999995</v>
      </c>
      <c r="M46" s="9">
        <v>12</v>
      </c>
      <c r="N46" s="8">
        <v>0.71584999999999999</v>
      </c>
      <c r="O46" s="9">
        <v>4</v>
      </c>
      <c r="P46" s="8">
        <v>0.78891999999999995</v>
      </c>
      <c r="Q46" s="9">
        <v>16</v>
      </c>
      <c r="R46" s="8">
        <v>0.99717999999999996</v>
      </c>
      <c r="S46" s="9">
        <v>71</v>
      </c>
      <c r="T46" s="8">
        <v>0.98543000000000003</v>
      </c>
      <c r="U46" s="9">
        <v>33</v>
      </c>
      <c r="V46" s="8">
        <v>0.58291999999999999</v>
      </c>
      <c r="W46" s="9">
        <v>8</v>
      </c>
      <c r="X46" s="2">
        <f t="shared" si="0"/>
        <v>0.86287090909090902</v>
      </c>
    </row>
    <row r="47" spans="1:24" x14ac:dyDescent="0.25">
      <c r="A47" s="4" t="s">
        <v>32</v>
      </c>
      <c r="B47" s="8">
        <v>0.79874000000000001</v>
      </c>
      <c r="C47" s="9">
        <v>9</v>
      </c>
      <c r="D47" s="8">
        <v>0.80379</v>
      </c>
      <c r="E47" s="9">
        <v>18</v>
      </c>
      <c r="F47" s="8">
        <v>0.90378999999999998</v>
      </c>
      <c r="G47" s="9">
        <v>10</v>
      </c>
      <c r="H47" s="8">
        <v>0.70333999999999997</v>
      </c>
      <c r="I47" s="9">
        <v>56</v>
      </c>
      <c r="J47" s="8">
        <v>0.99883</v>
      </c>
      <c r="K47" s="9">
        <v>62</v>
      </c>
      <c r="L47" s="8">
        <v>0.95711999999999997</v>
      </c>
      <c r="M47" s="9">
        <v>98</v>
      </c>
      <c r="N47" s="8">
        <v>0.79884999999999995</v>
      </c>
      <c r="O47" s="9">
        <v>98</v>
      </c>
      <c r="P47" s="8">
        <v>0.70921000000000001</v>
      </c>
      <c r="Q47" s="9">
        <v>94</v>
      </c>
      <c r="R47" s="8">
        <v>0.99390000000000001</v>
      </c>
      <c r="S47" s="9">
        <v>99</v>
      </c>
      <c r="T47" s="8">
        <v>0.98487000000000002</v>
      </c>
      <c r="U47" s="9">
        <v>95</v>
      </c>
      <c r="V47" s="8">
        <v>0.49569999999999997</v>
      </c>
      <c r="W47" s="9">
        <v>20</v>
      </c>
      <c r="X47" s="2">
        <f t="shared" si="0"/>
        <v>0.83164909090909089</v>
      </c>
    </row>
    <row r="48" spans="1:24" x14ac:dyDescent="0.25">
      <c r="A48" s="4" t="s">
        <v>6</v>
      </c>
      <c r="B48" s="8">
        <v>0.80167999999999995</v>
      </c>
      <c r="C48" s="9">
        <v>13</v>
      </c>
      <c r="D48" s="8">
        <v>0.89539000000000002</v>
      </c>
      <c r="E48" s="9">
        <v>76</v>
      </c>
      <c r="F48" s="8">
        <v>0.96031999999999995</v>
      </c>
      <c r="G48" s="9">
        <v>100</v>
      </c>
      <c r="H48" s="8">
        <v>0.67005999999999999</v>
      </c>
      <c r="I48" s="9">
        <v>67</v>
      </c>
      <c r="J48" s="8">
        <v>1</v>
      </c>
      <c r="K48" s="9">
        <v>40</v>
      </c>
      <c r="L48" s="8">
        <v>0.96694999999999998</v>
      </c>
      <c r="M48" s="9">
        <v>95</v>
      </c>
      <c r="N48" s="8">
        <v>0.63968999999999998</v>
      </c>
      <c r="O48" s="9">
        <v>71</v>
      </c>
      <c r="P48" s="8">
        <v>0.77593999999999996</v>
      </c>
      <c r="Q48" s="9">
        <v>99</v>
      </c>
      <c r="R48" s="8">
        <v>0.99436999999999998</v>
      </c>
      <c r="S48" s="9">
        <v>74</v>
      </c>
      <c r="T48" s="8">
        <v>0.98067000000000004</v>
      </c>
      <c r="U48" s="9">
        <v>55</v>
      </c>
      <c r="V48" s="8">
        <v>0.55686000000000002</v>
      </c>
      <c r="W48" s="9">
        <v>97</v>
      </c>
      <c r="X48" s="2">
        <f t="shared" si="0"/>
        <v>0.8401754545454545</v>
      </c>
    </row>
    <row r="49" spans="2:23" x14ac:dyDescent="0.25">
      <c r="D49" s="7"/>
      <c r="E49" s="4"/>
      <c r="F49" s="7"/>
    </row>
    <row r="50" spans="2:23" x14ac:dyDescent="0.25">
      <c r="D50" s="7"/>
      <c r="E50" s="4"/>
      <c r="F50" s="7"/>
      <c r="L50" s="7"/>
      <c r="M50" s="4"/>
      <c r="N50" s="7"/>
      <c r="R50" s="7"/>
      <c r="S50" s="4"/>
      <c r="T50" s="7"/>
      <c r="U50" s="4"/>
      <c r="V50" s="7"/>
      <c r="W50" s="4"/>
    </row>
    <row r="51" spans="2:23" x14ac:dyDescent="0.25">
      <c r="D51" s="7"/>
      <c r="E51" s="4"/>
      <c r="F51" s="7"/>
      <c r="G51" s="4"/>
      <c r="H51" s="7"/>
      <c r="I51" s="4"/>
      <c r="J51" s="7"/>
      <c r="K51" s="4"/>
      <c r="L51" s="7"/>
      <c r="M51" s="4"/>
      <c r="N51" s="7"/>
      <c r="O51" s="4"/>
      <c r="P51" s="7"/>
      <c r="R51" s="7"/>
      <c r="S51" s="4"/>
      <c r="T51" s="7"/>
      <c r="U51" s="4"/>
      <c r="V51" s="7"/>
      <c r="W51" s="4"/>
    </row>
    <row r="52" spans="2:23" x14ac:dyDescent="0.25">
      <c r="B52" s="7"/>
      <c r="C52" s="4"/>
      <c r="D52" s="7"/>
      <c r="E52" s="4"/>
      <c r="F52" s="7"/>
      <c r="G52" s="4"/>
      <c r="H52" s="7"/>
      <c r="I52" s="4"/>
      <c r="J52" s="7"/>
      <c r="K52" s="4"/>
      <c r="L52" s="7"/>
      <c r="M52" s="4"/>
      <c r="N52" s="7"/>
      <c r="O52" s="4"/>
      <c r="P52" s="7"/>
      <c r="Q52" s="4"/>
      <c r="R52" s="7"/>
      <c r="S52" s="4"/>
      <c r="T52" s="7"/>
      <c r="U52" s="4"/>
      <c r="V52" s="7"/>
      <c r="W52" s="4"/>
    </row>
    <row r="53" spans="2:23" x14ac:dyDescent="0.25">
      <c r="B53" s="7"/>
      <c r="C53" s="4"/>
      <c r="D53" s="7"/>
      <c r="E53" s="4"/>
      <c r="F53" s="7"/>
      <c r="G53" s="4"/>
      <c r="H53" s="7"/>
      <c r="I53" s="4"/>
      <c r="J53" s="7"/>
      <c r="K53" s="4"/>
      <c r="L53" s="7"/>
      <c r="M53" s="4"/>
      <c r="N53" s="7"/>
      <c r="O53" s="4"/>
      <c r="P53" s="7"/>
      <c r="Q53" s="4"/>
      <c r="R53" s="7"/>
      <c r="S53" s="4"/>
      <c r="T53" s="7"/>
      <c r="U53" s="4"/>
      <c r="V53" s="7"/>
      <c r="W53" s="4"/>
    </row>
    <row r="54" spans="2:23" x14ac:dyDescent="0.25">
      <c r="B54" s="7"/>
      <c r="C54" s="4"/>
      <c r="D54" s="7"/>
      <c r="E54" s="4"/>
      <c r="F54" s="7"/>
      <c r="G54" s="4"/>
      <c r="H54" s="7"/>
      <c r="I54" s="4"/>
      <c r="J54" s="7"/>
      <c r="K54" s="4"/>
      <c r="L54" s="7"/>
      <c r="M54" s="4"/>
      <c r="N54" s="7"/>
      <c r="O54" s="4"/>
      <c r="P54" s="7"/>
      <c r="Q54" s="4"/>
      <c r="R54" s="7"/>
      <c r="S54" s="4"/>
      <c r="T54" s="7"/>
      <c r="U54" s="4"/>
      <c r="V54" s="7"/>
      <c r="W54" s="4"/>
    </row>
    <row r="55" spans="2:23" x14ac:dyDescent="0.25">
      <c r="B55" s="7"/>
      <c r="C55" s="4"/>
      <c r="D55" s="7"/>
      <c r="E55" s="4"/>
      <c r="F55" s="7"/>
      <c r="G55" s="4"/>
      <c r="H55" s="7"/>
      <c r="I55" s="4"/>
      <c r="J55" s="7"/>
      <c r="K55" s="4"/>
      <c r="L55" s="7"/>
      <c r="M55" s="4"/>
      <c r="N55" s="7"/>
      <c r="O55" s="4"/>
      <c r="P55" s="7"/>
      <c r="Q55" s="4"/>
      <c r="R55" s="7"/>
      <c r="S55" s="4"/>
      <c r="T55" s="7"/>
      <c r="U55" s="4"/>
      <c r="V55" s="7"/>
      <c r="W55" s="4"/>
    </row>
    <row r="56" spans="2:23" x14ac:dyDescent="0.25">
      <c r="B56" s="7"/>
      <c r="C56" s="4"/>
      <c r="D56" s="7"/>
      <c r="E56" s="4"/>
      <c r="F56" s="7"/>
      <c r="G56" s="4"/>
      <c r="H56" s="7"/>
      <c r="I56" s="4"/>
      <c r="J56" s="7"/>
      <c r="K56" s="4"/>
      <c r="L56" s="7"/>
      <c r="M56" s="4"/>
      <c r="N56" s="7"/>
      <c r="O56" s="4"/>
      <c r="P56" s="7"/>
      <c r="Q56" s="4"/>
      <c r="R56" s="7"/>
      <c r="S56" s="4"/>
      <c r="T56" s="7"/>
      <c r="U56" s="4"/>
      <c r="V56" s="7"/>
      <c r="W56" s="4"/>
    </row>
    <row r="57" spans="2:23" x14ac:dyDescent="0.25">
      <c r="B57" s="7"/>
      <c r="C57" s="4"/>
      <c r="D57" s="7"/>
      <c r="E57" s="4"/>
      <c r="F57" s="7"/>
      <c r="G57" s="4"/>
      <c r="H57" s="7"/>
      <c r="I57" s="4"/>
      <c r="J57" s="7"/>
      <c r="K57" s="4"/>
      <c r="L57" s="7"/>
      <c r="M57" s="4"/>
      <c r="N57" s="7"/>
      <c r="O57" s="4"/>
      <c r="P57" s="7"/>
      <c r="Q57" s="4"/>
      <c r="R57" s="7"/>
      <c r="S57" s="4"/>
      <c r="T57" s="7"/>
      <c r="U57" s="4"/>
      <c r="V57" s="7"/>
      <c r="W57" s="4"/>
    </row>
    <row r="58" spans="2:23" x14ac:dyDescent="0.25">
      <c r="B58" s="7"/>
      <c r="C58" s="4"/>
      <c r="D58" s="7"/>
      <c r="E58" s="4"/>
      <c r="F58" s="7"/>
      <c r="G58" s="4"/>
      <c r="H58" s="7"/>
      <c r="I58" s="4"/>
      <c r="J58" s="7"/>
      <c r="K58" s="4"/>
      <c r="L58" s="7"/>
      <c r="M58" s="4"/>
      <c r="N58" s="7"/>
      <c r="O58" s="4"/>
      <c r="P58" s="7"/>
      <c r="Q58" s="4"/>
      <c r="R58" s="7"/>
      <c r="S58" s="4"/>
      <c r="T58" s="7"/>
      <c r="U58" s="4"/>
      <c r="V58" s="7"/>
      <c r="W58" s="4"/>
    </row>
    <row r="59" spans="2:23" x14ac:dyDescent="0.25">
      <c r="B59" s="7"/>
      <c r="C59" s="4"/>
      <c r="D59" s="7"/>
      <c r="E59" s="4"/>
      <c r="F59" s="7"/>
      <c r="G59" s="4"/>
      <c r="H59" s="7"/>
      <c r="I59" s="4"/>
      <c r="J59" s="7"/>
      <c r="K59" s="4"/>
      <c r="L59" s="7"/>
      <c r="M59" s="4"/>
      <c r="N59" s="7"/>
      <c r="O59" s="4"/>
      <c r="P59" s="7"/>
      <c r="Q59" s="4"/>
      <c r="R59" s="7"/>
      <c r="S59" s="4"/>
      <c r="T59" s="7"/>
      <c r="U59" s="4"/>
      <c r="V59" s="7"/>
      <c r="W59" s="4"/>
    </row>
    <row r="60" spans="2:23" x14ac:dyDescent="0.25">
      <c r="B60" s="7"/>
      <c r="C60" s="4"/>
      <c r="D60" s="7"/>
      <c r="F60" s="7"/>
      <c r="G60" s="4"/>
      <c r="H60" s="7"/>
      <c r="I60" s="4"/>
      <c r="J60" s="7"/>
      <c r="K60" s="4"/>
      <c r="L60" s="7"/>
      <c r="M60" s="4"/>
      <c r="N60" s="7"/>
      <c r="O60" s="4"/>
      <c r="P60" s="7"/>
      <c r="Q60" s="4"/>
      <c r="R60" s="7"/>
      <c r="S60" s="4"/>
      <c r="T60" s="7"/>
      <c r="U60" s="4"/>
      <c r="V60" s="7"/>
      <c r="W60" s="4"/>
    </row>
    <row r="61" spans="2:23" x14ac:dyDescent="0.25">
      <c r="B61" s="7"/>
      <c r="C61" s="4"/>
      <c r="D61" s="7"/>
      <c r="F61" s="7"/>
      <c r="G61" s="4"/>
      <c r="H61" s="7"/>
      <c r="I61" s="4"/>
      <c r="J61" s="7"/>
      <c r="K61" s="4"/>
      <c r="L61" s="7"/>
      <c r="M61" s="4"/>
      <c r="N61" s="7"/>
      <c r="O61" s="4"/>
      <c r="P61" s="7"/>
      <c r="Q61" s="4"/>
      <c r="R61" s="7"/>
      <c r="S61" s="4"/>
      <c r="T61" s="7"/>
      <c r="U61" s="4"/>
      <c r="V61" s="7"/>
      <c r="W61" s="4"/>
    </row>
    <row r="62" spans="2:23" x14ac:dyDescent="0.25">
      <c r="F62" s="7"/>
      <c r="G62" s="4"/>
      <c r="H62" s="7"/>
      <c r="I62" s="4"/>
      <c r="J62" s="7"/>
      <c r="K62" s="4"/>
      <c r="N62" s="7"/>
      <c r="O62" s="4"/>
      <c r="P62" s="7"/>
      <c r="Q62" s="4"/>
      <c r="R62" s="7"/>
    </row>
    <row r="63" spans="2:23" x14ac:dyDescent="0.25">
      <c r="P63" s="7"/>
      <c r="Q63" s="4"/>
      <c r="R63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590C-F077-4463-BADF-91FAE08123A1}">
  <dimension ref="A1:M23"/>
  <sheetViews>
    <sheetView tabSelected="1" workbookViewId="0">
      <selection activeCell="O7" sqref="O7"/>
    </sheetView>
  </sheetViews>
  <sheetFormatPr defaultRowHeight="15" x14ac:dyDescent="0.25"/>
  <cols>
    <col min="1" max="1" width="15" customWidth="1"/>
  </cols>
  <sheetData>
    <row r="1" spans="1:13" x14ac:dyDescent="0.25"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</row>
    <row r="2" spans="1:13" x14ac:dyDescent="0.25">
      <c r="A2" s="3" t="s">
        <v>2</v>
      </c>
    </row>
    <row r="3" spans="1:13" x14ac:dyDescent="0.25">
      <c r="A3" s="3" t="s">
        <v>9</v>
      </c>
      <c r="B3" s="6">
        <v>0.98811490657968704</v>
      </c>
      <c r="C3" s="6">
        <v>0.93355954529666296</v>
      </c>
      <c r="D3" s="6">
        <v>0.98358912533809795</v>
      </c>
      <c r="E3" s="6">
        <v>0.90245430235181601</v>
      </c>
      <c r="F3" s="6">
        <v>0.92437656213638797</v>
      </c>
      <c r="G3" s="6">
        <v>0.97883074944692905</v>
      </c>
      <c r="H3" s="6">
        <v>0.99102442701642501</v>
      </c>
      <c r="I3" s="6">
        <v>0.99136665277996705</v>
      </c>
      <c r="J3" s="6">
        <v>0.87331806049861005</v>
      </c>
      <c r="K3" s="6">
        <v>0.90959370401217399</v>
      </c>
      <c r="L3" s="6">
        <v>0.92599970347259397</v>
      </c>
      <c r="M3" s="6">
        <f>AVERAGE(B3:L3)</f>
        <v>0.94565706717539555</v>
      </c>
    </row>
    <row r="4" spans="1:13" x14ac:dyDescent="0.25">
      <c r="A4" s="3" t="s">
        <v>10</v>
      </c>
      <c r="B4" s="6">
        <v>0.98864454804683699</v>
      </c>
      <c r="C4" s="6">
        <v>0.91378933311020805</v>
      </c>
      <c r="D4" s="6">
        <v>0.98358912533799103</v>
      </c>
      <c r="E4" s="6">
        <v>0.88379558890561205</v>
      </c>
      <c r="F4" s="6">
        <v>0.96712924787770804</v>
      </c>
      <c r="G4" s="6">
        <v>0.97663781333181099</v>
      </c>
      <c r="H4" s="6">
        <v>0.99292304247891805</v>
      </c>
      <c r="I4" s="6">
        <v>0.99116351280719195</v>
      </c>
      <c r="J4" s="6">
        <v>0.83700427618071005</v>
      </c>
      <c r="K4" s="6">
        <v>0.855996819071558</v>
      </c>
      <c r="L4" s="6">
        <v>0.89972369268749597</v>
      </c>
      <c r="M4" s="6">
        <f t="shared" ref="M4:M23" si="0">AVERAGE(B4:L4)</f>
        <v>0.9354906363487312</v>
      </c>
    </row>
    <row r="5" spans="1:13" x14ac:dyDescent="0.25">
      <c r="A5" s="3" t="s">
        <v>11</v>
      </c>
      <c r="B5" s="6">
        <v>0.95655112984651403</v>
      </c>
      <c r="C5" s="6">
        <v>0.90355427553143997</v>
      </c>
      <c r="D5" s="6">
        <v>0.91595457429443705</v>
      </c>
      <c r="E5" s="6">
        <v>0.889823224091289</v>
      </c>
      <c r="F5" s="6">
        <v>0.90752315958622098</v>
      </c>
      <c r="G5" s="6">
        <v>0.93121611183858599</v>
      </c>
      <c r="H5" s="6">
        <v>0.97022612028145905</v>
      </c>
      <c r="I5" s="6">
        <v>0.95620251269904999</v>
      </c>
      <c r="J5" s="6">
        <v>0.826489775631156</v>
      </c>
      <c r="K5" s="6">
        <v>0.87739607204165204</v>
      </c>
      <c r="L5" s="6">
        <v>0.89021181070729605</v>
      </c>
      <c r="M5" s="6">
        <f t="shared" si="0"/>
        <v>0.91137716059537266</v>
      </c>
    </row>
    <row r="6" spans="1:13" x14ac:dyDescent="0.25">
      <c r="A6" s="3" t="s">
        <v>12</v>
      </c>
      <c r="B6" s="6">
        <v>1.56880935782437E-2</v>
      </c>
      <c r="C6" s="6">
        <v>0.27097353760127302</v>
      </c>
      <c r="D6" s="6">
        <v>0.218637485148137</v>
      </c>
      <c r="E6" s="6">
        <v>8.5332790066250594E-3</v>
      </c>
      <c r="F6" s="6">
        <v>0.47036740979521802</v>
      </c>
      <c r="G6" s="6">
        <v>3.9455844852971197E-2</v>
      </c>
      <c r="H6" s="6">
        <v>0.212366693916759</v>
      </c>
      <c r="I6" s="6">
        <v>7.9405311917718796E-2</v>
      </c>
      <c r="J6" s="6">
        <v>0.32370625554389898</v>
      </c>
      <c r="K6" s="6">
        <v>0.28007851174263498</v>
      </c>
      <c r="L6" s="6">
        <v>0.34531165482295001</v>
      </c>
      <c r="M6" s="6">
        <f t="shared" si="0"/>
        <v>0.20586582526603905</v>
      </c>
    </row>
    <row r="7" spans="1:13" x14ac:dyDescent="0.25">
      <c r="A7" s="3" t="s">
        <v>13</v>
      </c>
      <c r="B7" s="6">
        <v>0.98418795416363603</v>
      </c>
      <c r="C7" s="6">
        <v>0.922515548371313</v>
      </c>
      <c r="D7" s="6">
        <v>0.96117402493581205</v>
      </c>
      <c r="E7" s="6">
        <v>0.90077845503926701</v>
      </c>
      <c r="F7" s="6">
        <v>0.94466126156444796</v>
      </c>
      <c r="G7" s="6">
        <v>0.96693700940426697</v>
      </c>
      <c r="H7" s="6">
        <v>0.99085707174869397</v>
      </c>
      <c r="I7" s="6">
        <v>0.98394659762036896</v>
      </c>
      <c r="J7" s="6">
        <v>0.83392226921301504</v>
      </c>
      <c r="K7" s="6">
        <v>0.91308135365983201</v>
      </c>
      <c r="L7" s="6">
        <v>0.90830834304680097</v>
      </c>
      <c r="M7" s="6">
        <f t="shared" si="0"/>
        <v>0.93730635352431413</v>
      </c>
    </row>
    <row r="8" spans="1:13" x14ac:dyDescent="0.25">
      <c r="A8" s="3" t="s">
        <v>14</v>
      </c>
      <c r="B8" s="6">
        <v>0.997146587594398</v>
      </c>
      <c r="C8" s="6">
        <v>0.98724683733885599</v>
      </c>
      <c r="D8" s="6">
        <v>0.98301846540673099</v>
      </c>
      <c r="E8" s="6">
        <v>0.95601192186839601</v>
      </c>
      <c r="F8" s="6">
        <v>0.97853594537972899</v>
      </c>
      <c r="G8" s="6">
        <v>0.99858143624875695</v>
      </c>
      <c r="H8" s="6">
        <v>0.99252921211838396</v>
      </c>
      <c r="I8" s="6">
        <v>0.99962806990336905</v>
      </c>
      <c r="J8" s="6">
        <v>0.93281859396659605</v>
      </c>
      <c r="K8" s="6">
        <v>0.97868137611647898</v>
      </c>
      <c r="L8" s="6">
        <v>0.98954925179234599</v>
      </c>
      <c r="M8" s="6">
        <f t="shared" si="0"/>
        <v>0.98124979070309459</v>
      </c>
    </row>
    <row r="9" spans="1:13" x14ac:dyDescent="0.25">
      <c r="A9" s="3" t="s">
        <v>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x14ac:dyDescent="0.25">
      <c r="A10" t="s">
        <v>15</v>
      </c>
      <c r="B10" s="6">
        <v>0.89284458485222795</v>
      </c>
      <c r="C10" s="6">
        <v>0.93643605078957304</v>
      </c>
      <c r="D10" s="6">
        <v>0.97139079102633097</v>
      </c>
      <c r="E10" s="6">
        <v>0.76674142615294405</v>
      </c>
      <c r="F10" s="6">
        <v>0.96170057697359201</v>
      </c>
      <c r="G10" s="6">
        <v>0.99356218407959895</v>
      </c>
      <c r="H10" s="6">
        <v>0.73725189634474597</v>
      </c>
      <c r="I10" s="6">
        <v>0.91972644096950695</v>
      </c>
      <c r="J10" s="6">
        <v>0.91396928514338704</v>
      </c>
      <c r="K10" s="6">
        <v>0.95566226293528</v>
      </c>
      <c r="L10" s="6">
        <v>0.99174621823642295</v>
      </c>
      <c r="M10" s="6">
        <f t="shared" si="0"/>
        <v>0.91282106522760076</v>
      </c>
    </row>
    <row r="11" spans="1:13" x14ac:dyDescent="0.25">
      <c r="A11" t="s">
        <v>16</v>
      </c>
      <c r="B11" s="6">
        <v>0.91266699877223201</v>
      </c>
      <c r="C11" s="6">
        <v>0.94325281100383696</v>
      </c>
      <c r="D11" s="6">
        <v>0.96294755922516195</v>
      </c>
      <c r="E11" s="6">
        <v>0.925983138792417</v>
      </c>
      <c r="F11" s="6">
        <v>0.97278101558979002</v>
      </c>
      <c r="G11" s="6">
        <v>0.98230268904231899</v>
      </c>
      <c r="H11" s="6">
        <v>0.73778940208225197</v>
      </c>
      <c r="I11" s="6">
        <v>0.99959535229742702</v>
      </c>
      <c r="J11" s="6">
        <v>0.89831363893147698</v>
      </c>
      <c r="K11" s="6">
        <v>0.97318310164880595</v>
      </c>
      <c r="L11" s="6">
        <v>0.98597616682759404</v>
      </c>
      <c r="M11" s="6">
        <f t="shared" si="0"/>
        <v>0.93589017038302846</v>
      </c>
    </row>
    <row r="12" spans="1:13" x14ac:dyDescent="0.25">
      <c r="A12" t="s">
        <v>17</v>
      </c>
      <c r="B12" s="6">
        <v>0.93911305723398497</v>
      </c>
      <c r="C12" s="6">
        <v>0.938702885970644</v>
      </c>
      <c r="D12" s="6">
        <v>0.97123988467869904</v>
      </c>
      <c r="E12" s="6">
        <v>0.97960928877301101</v>
      </c>
      <c r="F12" s="6">
        <v>0.92450078379201395</v>
      </c>
      <c r="G12" s="6">
        <v>0.978610000165404</v>
      </c>
      <c r="H12" s="6">
        <v>0.72500889374032396</v>
      </c>
      <c r="I12" s="6">
        <v>0.99959611987894503</v>
      </c>
      <c r="J12" s="6">
        <v>0.98665566402766403</v>
      </c>
      <c r="K12" s="6">
        <v>0.97345958651415498</v>
      </c>
      <c r="L12" s="6">
        <v>0.98597557425331195</v>
      </c>
      <c r="M12" s="6">
        <f t="shared" si="0"/>
        <v>0.94567924900255962</v>
      </c>
    </row>
    <row r="13" spans="1:13" x14ac:dyDescent="0.25">
      <c r="A13" t="s">
        <v>18</v>
      </c>
      <c r="B13" s="6">
        <v>0.93929635840037096</v>
      </c>
      <c r="C13" s="6">
        <v>0.97766427576461901</v>
      </c>
      <c r="D13" s="6">
        <v>0.97332656948015694</v>
      </c>
      <c r="E13" s="6">
        <v>0.97726114185567703</v>
      </c>
      <c r="F13" s="6">
        <v>0.91002722941191305</v>
      </c>
      <c r="G13" s="6">
        <v>0.95695733719199605</v>
      </c>
      <c r="H13" s="6">
        <v>0.79883614496513999</v>
      </c>
      <c r="I13" s="6">
        <v>0.99312034341585198</v>
      </c>
      <c r="J13" s="6">
        <v>0.92122679367141602</v>
      </c>
      <c r="K13" s="6">
        <v>0.92681678112469101</v>
      </c>
      <c r="L13" s="6">
        <v>0.97123933169648502</v>
      </c>
      <c r="M13" s="6">
        <f t="shared" si="0"/>
        <v>0.94052475517984679</v>
      </c>
    </row>
    <row r="14" spans="1:13" x14ac:dyDescent="0.25">
      <c r="A14" t="s">
        <v>19</v>
      </c>
      <c r="B14" s="6">
        <v>0.96384723643284198</v>
      </c>
      <c r="C14" s="6">
        <v>0.89913291488897995</v>
      </c>
      <c r="D14" s="6">
        <v>0.85654190105495998</v>
      </c>
      <c r="E14" s="6">
        <v>0.42648310736381201</v>
      </c>
      <c r="F14" s="6">
        <v>0.952039834002543</v>
      </c>
      <c r="G14" s="6">
        <v>0.99847137799089303</v>
      </c>
      <c r="H14" s="6">
        <v>0.75753153566295806</v>
      </c>
      <c r="I14" s="6">
        <v>0.99977285348976197</v>
      </c>
      <c r="J14" s="6">
        <v>0.94438922707484596</v>
      </c>
      <c r="K14" s="6">
        <v>0.98460674467484599</v>
      </c>
      <c r="L14" s="6">
        <v>0.98277488357270104</v>
      </c>
      <c r="M14" s="6">
        <f t="shared" si="0"/>
        <v>0.8877810560190128</v>
      </c>
    </row>
    <row r="15" spans="1:13" x14ac:dyDescent="0.25">
      <c r="A15" t="s">
        <v>20</v>
      </c>
      <c r="B15" s="6">
        <v>0.99133717020398304</v>
      </c>
      <c r="C15" s="6">
        <v>0.95986236302170602</v>
      </c>
      <c r="D15" s="6">
        <v>0.93875612937153796</v>
      </c>
      <c r="E15" s="6">
        <v>0.99184774378788498</v>
      </c>
      <c r="F15" s="6">
        <v>0.94217869079605998</v>
      </c>
      <c r="G15" s="6">
        <v>0.96390766369360403</v>
      </c>
      <c r="H15" s="6">
        <v>0.73430957438572397</v>
      </c>
      <c r="I15" s="6">
        <v>0.99974189732728302</v>
      </c>
      <c r="J15" s="6">
        <v>0.89765848064356002</v>
      </c>
      <c r="K15" s="6">
        <v>0.97183570135645803</v>
      </c>
      <c r="L15" s="6">
        <v>0.99106032518581899</v>
      </c>
      <c r="M15" s="6">
        <f t="shared" si="0"/>
        <v>0.94386324907032904</v>
      </c>
    </row>
    <row r="16" spans="1:13" x14ac:dyDescent="0.25">
      <c r="A16" t="s">
        <v>21</v>
      </c>
      <c r="B16" s="6">
        <v>0.69152224502555804</v>
      </c>
      <c r="C16" s="6">
        <v>0.75766604700059403</v>
      </c>
      <c r="D16" s="6">
        <v>0.90785537369085001</v>
      </c>
      <c r="E16" s="6">
        <v>0.525829915578371</v>
      </c>
      <c r="F16" s="6">
        <v>0.79496350012008898</v>
      </c>
      <c r="G16" s="6">
        <v>0.93739007853316403</v>
      </c>
      <c r="H16" s="6">
        <v>0.62806598545741199</v>
      </c>
      <c r="I16" s="6">
        <v>0.99707196083749805</v>
      </c>
      <c r="J16" s="6">
        <v>0.64233803765568398</v>
      </c>
      <c r="K16" s="6">
        <v>0.79350764184345601</v>
      </c>
      <c r="L16" s="6">
        <v>0.92519855415997598</v>
      </c>
      <c r="M16" s="6">
        <f t="shared" si="0"/>
        <v>0.78194630362751372</v>
      </c>
    </row>
    <row r="17" spans="1:13" x14ac:dyDescent="0.25">
      <c r="A17" t="s">
        <v>22</v>
      </c>
      <c r="B17" s="6">
        <v>0.96136099181288204</v>
      </c>
      <c r="C17" s="6">
        <v>0.97445097416785997</v>
      </c>
      <c r="D17" s="6">
        <v>0.93014879424748298</v>
      </c>
      <c r="E17" s="6">
        <v>0.87437654828526301</v>
      </c>
      <c r="F17" s="6">
        <v>0.98238343066900902</v>
      </c>
      <c r="G17" s="6">
        <v>0.96704634687633595</v>
      </c>
      <c r="H17" s="6">
        <v>0.78224953215586601</v>
      </c>
      <c r="I17" s="6">
        <v>0.84596429743302803</v>
      </c>
      <c r="J17" s="6">
        <v>0.92945975101886902</v>
      </c>
      <c r="K17" s="6">
        <v>0.98746127700544095</v>
      </c>
      <c r="L17" s="6">
        <v>0.97236268910441803</v>
      </c>
      <c r="M17" s="6">
        <f t="shared" si="0"/>
        <v>0.92793314843422325</v>
      </c>
    </row>
    <row r="18" spans="1:13" x14ac:dyDescent="0.25">
      <c r="A18" t="s">
        <v>23</v>
      </c>
      <c r="B18" s="6">
        <v>0.98359783990690397</v>
      </c>
      <c r="C18" s="6">
        <v>0.95841166475327</v>
      </c>
      <c r="D18" s="6">
        <v>0.97139078464347695</v>
      </c>
      <c r="E18" s="6">
        <v>0.12838082462198799</v>
      </c>
      <c r="F18" s="6">
        <v>0.96170057845386603</v>
      </c>
      <c r="G18" s="6">
        <v>0.99356218394365403</v>
      </c>
      <c r="H18" s="6">
        <v>0.737251902694399</v>
      </c>
      <c r="I18" s="6">
        <v>0.91972643850550195</v>
      </c>
      <c r="J18" s="6">
        <v>0.64065621970692699</v>
      </c>
      <c r="K18" s="6">
        <v>0.96023461407752797</v>
      </c>
      <c r="L18" s="6">
        <v>0.99243318288198501</v>
      </c>
      <c r="M18" s="6">
        <f t="shared" si="0"/>
        <v>0.8406678394717727</v>
      </c>
    </row>
    <row r="19" spans="1:13" x14ac:dyDescent="0.25">
      <c r="A19" t="s">
        <v>24</v>
      </c>
      <c r="B19" s="6">
        <v>2.6680296481639401E-2</v>
      </c>
      <c r="C19" s="6">
        <v>0.234336576942731</v>
      </c>
      <c r="D19" s="6">
        <v>5.9241240853596701E-2</v>
      </c>
      <c r="E19" s="6">
        <v>1.05933305101437E-2</v>
      </c>
      <c r="F19" s="6">
        <v>0.29838782665111102</v>
      </c>
      <c r="G19" s="6">
        <v>1.26946944824812E-2</v>
      </c>
      <c r="H19" s="6">
        <v>0.49709544315078602</v>
      </c>
      <c r="I19" s="6">
        <v>1.29928517904649E-2</v>
      </c>
      <c r="J19" s="6">
        <v>0.26623868136170697</v>
      </c>
      <c r="K19" s="6">
        <v>0.167011004183828</v>
      </c>
      <c r="L19" s="6">
        <v>0.16815637117819199</v>
      </c>
      <c r="M19" s="6">
        <f t="shared" si="0"/>
        <v>0.15940257432606189</v>
      </c>
    </row>
    <row r="20" spans="1:13" x14ac:dyDescent="0.25">
      <c r="A20" t="s">
        <v>25</v>
      </c>
      <c r="B20" s="6">
        <v>0.82070360505320294</v>
      </c>
      <c r="C20" s="6">
        <v>0.84004009528540802</v>
      </c>
      <c r="D20" s="6">
        <v>0.97450767571108099</v>
      </c>
      <c r="E20" s="6">
        <v>0.76863921413798597</v>
      </c>
      <c r="F20" s="6">
        <v>0.87637440879366701</v>
      </c>
      <c r="G20" s="6">
        <v>0.94706572081959295</v>
      </c>
      <c r="H20" s="6">
        <v>0.64767324800113701</v>
      </c>
      <c r="I20" s="6">
        <v>0.99660369648103297</v>
      </c>
      <c r="J20" s="6">
        <v>0.88016198759360498</v>
      </c>
      <c r="K20" s="6">
        <v>0.86868543419594602</v>
      </c>
      <c r="L20" s="6">
        <v>0.94977996897118799</v>
      </c>
      <c r="M20" s="6">
        <f t="shared" si="0"/>
        <v>0.87002136864034973</v>
      </c>
    </row>
    <row r="21" spans="1:13" x14ac:dyDescent="0.25">
      <c r="A21" t="s">
        <v>13</v>
      </c>
      <c r="B21" s="6">
        <v>0.61707699756212997</v>
      </c>
      <c r="C21" s="6">
        <v>0.71962546320485898</v>
      </c>
      <c r="D21" s="6">
        <v>0.806141907961201</v>
      </c>
      <c r="E21" s="6">
        <v>0.464593001120987</v>
      </c>
      <c r="F21" s="6">
        <v>0.79734731805889003</v>
      </c>
      <c r="G21" s="6">
        <v>0.87247061829606598</v>
      </c>
      <c r="H21" s="6">
        <v>0.59312449561355696</v>
      </c>
      <c r="I21" s="6">
        <v>0.971331582356872</v>
      </c>
      <c r="J21" s="6">
        <v>0.58203829329760803</v>
      </c>
      <c r="K21" s="6">
        <v>0.72545098622166904</v>
      </c>
      <c r="L21" s="6">
        <v>0.83441525379236703</v>
      </c>
      <c r="M21" s="6">
        <f t="shared" si="0"/>
        <v>0.72578326522601877</v>
      </c>
    </row>
    <row r="22" spans="1:13" x14ac:dyDescent="0.25">
      <c r="A22" t="s">
        <v>26</v>
      </c>
      <c r="B22" s="6">
        <v>0.73652067918581898</v>
      </c>
      <c r="C22" s="6">
        <v>0.86115184010039902</v>
      </c>
      <c r="D22" s="6">
        <v>0.96791533281473696</v>
      </c>
      <c r="E22" s="6">
        <v>0.63818508952378195</v>
      </c>
      <c r="F22" s="6">
        <v>0.76627659360213696</v>
      </c>
      <c r="G22" s="6">
        <v>0.87886134750593703</v>
      </c>
      <c r="H22" s="6">
        <v>0.56200401539820899</v>
      </c>
      <c r="I22" s="6">
        <v>0.93501358277240998</v>
      </c>
      <c r="J22" s="6">
        <v>0.72404742261075095</v>
      </c>
      <c r="K22" s="6">
        <v>0.76415689744067605</v>
      </c>
      <c r="L22" s="6">
        <v>0.89130992761053995</v>
      </c>
      <c r="M22" s="6">
        <f t="shared" si="0"/>
        <v>0.79322206623321778</v>
      </c>
    </row>
    <row r="23" spans="1:13" x14ac:dyDescent="0.25">
      <c r="A23" t="s">
        <v>14</v>
      </c>
      <c r="B23" s="6">
        <v>0.75149670906328703</v>
      </c>
      <c r="C23" s="6">
        <v>0.81958658992286704</v>
      </c>
      <c r="D23" s="6">
        <v>0.95226050625698</v>
      </c>
      <c r="E23" s="6">
        <v>0.58898500331249104</v>
      </c>
      <c r="F23" s="6">
        <v>0.88138203030247797</v>
      </c>
      <c r="G23" s="6">
        <v>0.96776454395015299</v>
      </c>
      <c r="H23" s="6">
        <v>0.65543177100860195</v>
      </c>
      <c r="I23" s="6">
        <v>0.99901293563114502</v>
      </c>
      <c r="J23" s="6">
        <v>0.71205989044942097</v>
      </c>
      <c r="K23" s="6">
        <v>0.85538669635794495</v>
      </c>
      <c r="L23" s="6">
        <v>0.95155958604413404</v>
      </c>
      <c r="M23" s="6">
        <f t="shared" si="0"/>
        <v>0.83044784202722755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R^2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Karson Cole Lorne C Hodge 4210</dc:creator>
  <cp:lastModifiedBy>Karson Hodge</cp:lastModifiedBy>
  <dcterms:created xsi:type="dcterms:W3CDTF">2025-04-24T03:39:45Z</dcterms:created>
  <dcterms:modified xsi:type="dcterms:W3CDTF">2025-06-04T21:13:32Z</dcterms:modified>
</cp:coreProperties>
</file>