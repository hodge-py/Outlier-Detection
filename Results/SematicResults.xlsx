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B6E83E9A-8C8C-496C-8078-F541C4D8539F}" xr6:coauthVersionLast="47" xr6:coauthVersionMax="47" xr10:uidLastSave="{00000000-0000-0000-0000-000000000000}"/>
  <bookViews>
    <workbookView xWindow="-120" yWindow="-120" windowWidth="29040" windowHeight="15720" activeTab="1" xr2:uid="{434910EB-563B-4C75-B478-5542AE1CD537}"/>
  </bookViews>
  <sheets>
    <sheet name="Results" sheetId="1" r:id="rId1"/>
    <sheet name="R^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3" l="1"/>
  <c r="Q34" i="3"/>
  <c r="Q35" i="3"/>
  <c r="N4" i="3"/>
  <c r="N5" i="3"/>
  <c r="N6" i="3"/>
  <c r="N7" i="3"/>
  <c r="N8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3" i="3"/>
  <c r="Z38" i="1"/>
  <c r="Z39" i="1"/>
  <c r="Z40" i="1"/>
  <c r="Z41" i="1"/>
  <c r="Z42" i="1"/>
  <c r="Z43" i="1"/>
  <c r="Z44" i="1"/>
  <c r="Z45" i="1"/>
  <c r="Z46" i="1"/>
  <c r="Z47" i="1"/>
  <c r="Z48" i="1"/>
  <c r="Z26" i="1"/>
  <c r="Z27" i="1"/>
  <c r="Z36" i="1"/>
  <c r="Z28" i="1"/>
  <c r="Z30" i="1"/>
  <c r="Z31" i="1"/>
  <c r="Z33" i="1"/>
  <c r="Z34" i="1"/>
  <c r="Z29" i="1"/>
  <c r="Z35" i="1"/>
  <c r="Z32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4" i="1"/>
</calcChain>
</file>

<file path=xl/sharedStrings.xml><?xml version="1.0" encoding="utf-8"?>
<sst xmlns="http://schemas.openxmlformats.org/spreadsheetml/2006/main" count="118" uniqueCount="48">
  <si>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</si>
  <si>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</si>
  <si>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</si>
  <si>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</si>
  <si>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</si>
  <si>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</si>
  <si>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</si>
  <si>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</si>
  <si>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</si>
  <si>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</si>
  <si>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</si>
  <si>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</si>
  <si>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</si>
  <si>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</si>
  <si>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</si>
  <si>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</si>
  <si>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</si>
  <si>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</si>
  <si>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</si>
  <si>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</si>
  <si>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</si>
  <si>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</si>
  <si>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</si>
  <si>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wald</t>
  </si>
  <si>
    <t>levy</t>
  </si>
  <si>
    <t>SimplifiedLOF</t>
  </si>
  <si>
    <t>LoOP</t>
  </si>
  <si>
    <t>LDOF</t>
  </si>
  <si>
    <t>ODIN</t>
  </si>
  <si>
    <t>FastABOD</t>
  </si>
  <si>
    <t>KDEOS</t>
  </si>
  <si>
    <t>LDF</t>
  </si>
  <si>
    <t>INFLO</t>
  </si>
  <si>
    <t>Annthyroid</t>
  </si>
  <si>
    <t>Arrhythmia</t>
  </si>
  <si>
    <t>Cardiotocography</t>
  </si>
  <si>
    <t>HeartDisease</t>
  </si>
  <si>
    <t>Hepatitis</t>
  </si>
  <si>
    <t>InternetAds</t>
  </si>
  <si>
    <t>PageBlocks</t>
  </si>
  <si>
    <t>Parkinson</t>
  </si>
  <si>
    <t>Pima</t>
  </si>
  <si>
    <t>SpamBase</t>
  </si>
  <si>
    <t>Stamps</t>
  </si>
  <si>
    <t>Wilt</t>
  </si>
  <si>
    <t>Average</t>
  </si>
  <si>
    <t>Log Transform</t>
  </si>
  <si>
    <t>No Transform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</si>
</sst>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  <xf numFmtId="10" fontId="0" fillId="0" borderId="0" xfId="1" applyNumberFormat="1" applyFont="1" applyAlignment="1">
      <alignment horizontal="center"/>
    </xf>
    <xf numFmtId="0" fontId="0" fillId="0" borderId="0" xfId="0" applyAlignment="1">
      <alignment vertical="center" wrapText="1"/>
    </xf>
    <xf numFmtId="10" fontId="0" fillId="0" borderId="0" xfId="1" applyNumberFormat="1" applyFont="1"/>
    <xf numFmtId="10" fontId="0" fillId="0" borderId="0" xfId="1" applyNumberFormat="1" applyFont="1" applyAlignment="1">
      <alignment vertical="center" wrapText="1"/>
    </xf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right"/>
    </xf>
    <xf numFmtId="0" fontId="0" fillId="0" borderId="0" xfId="2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63"/>
  <sheetViews>
    <sheetView workbookViewId="0">
      <selection activeCell="A4" sqref="A4:A24"/>
    </sheetView>
  </sheetViews>
  <sheetFormatPr defaultColWidth="10.5703125" defaultRowHeight="15" x14ac:dyDescent="0.25"/>
  <cols>
    <col min="1" max="1" width="13.5703125" customWidth="1"/>
    <col min="2" max="2" width="10.5703125" style="5"/>
    <col min="4" max="4" width="10.5703125" style="5"/>
    <col min="6" max="6" width="10.5703125" style="5"/>
    <col min="8" max="8" width="10.5703125" style="5"/>
    <col min="10" max="10" width="10.5703125" style="5"/>
    <col min="12" max="12" width="10.5703125" style="5"/>
    <col min="14" max="14" width="10.5703125" style="5"/>
    <col min="16" max="16" width="10.5703125" style="5"/>
    <col min="18" max="18" width="10.5703125" style="5"/>
    <col min="20" max="20" width="10.5703125" style="5"/>
    <col min="22" max="22" width="10.5703125" style="5"/>
    <col min="24" max="24" width="10.5703125" style="5"/>
  </cols>
  <sheetData>
    <row r="1" spans="1:26" x14ac:dyDescent="0.25">
      <c r="B1" t="s">
        <v>33</v>
      </c>
      <c r="D1" t="s">
        <v>34</v>
      </c>
      <c r="F1" t="s">
        <v>35</v>
      </c>
      <c r="H1" t="s">
        <v>36</v>
      </c>
      <c r="J1" t="s">
        <v>37</v>
      </c>
      <c r="L1" t="s">
        <v>38</v>
      </c>
      <c r="N1" t="s">
        <v>39</v>
      </c>
      <c r="P1" t="s">
        <v>40</v>
      </c>
      <c r="R1" t="s">
        <v>41</v>
      </c>
      <c r="T1" t="s">
        <v>42</v>
      </c>
      <c r="V1" t="s">
        <v>43</v>
      </c>
      <c r="X1" t="s">
        <v>44</v>
      </c>
      <c r="Z1" t="s">
        <v>45</v>
      </c>
    </row>
    <row r="2" spans="1:26" x14ac:dyDescent="0.25">
      <c r="B2" s="3" t="s">
        <v>0</v>
      </c>
      <c r="C2" s="1" t="s">
        <v>13</v>
      </c>
      <c r="D2" s="3" t="s">
        <v>0</v>
      </c>
      <c r="E2" s="1" t="s">
        <v>13</v>
      </c>
      <c r="F2" s="3" t="s">
        <v>0</v>
      </c>
      <c r="G2" s="1" t="s">
        <v>13</v>
      </c>
      <c r="H2" s="3" t="s">
        <v>0</v>
      </c>
      <c r="I2" s="1" t="s">
        <v>13</v>
      </c>
      <c r="J2" s="3" t="s">
        <v>0</v>
      </c>
      <c r="K2" s="1" t="s">
        <v>13</v>
      </c>
      <c r="L2" s="3" t="s">
        <v>0</v>
      </c>
      <c r="M2" s="1" t="s">
        <v>13</v>
      </c>
      <c r="N2" s="3" t="s">
        <v>0</v>
      </c>
      <c r="O2" s="1" t="s">
        <v>13</v>
      </c>
      <c r="P2" s="3" t="s">
        <v>0</v>
      </c>
      <c r="Q2" s="1" t="s">
        <v>13</v>
      </c>
      <c r="R2" s="3" t="s">
        <v>0</v>
      </c>
      <c r="S2" s="1" t="s">
        <v>13</v>
      </c>
      <c r="T2" s="3" t="s">
        <v>0</v>
      </c>
      <c r="U2" s="1" t="s">
        <v>13</v>
      </c>
      <c r="V2" s="3" t="s">
        <v>0</v>
      </c>
      <c r="W2" s="1" t="s">
        <v>13</v>
      </c>
      <c r="X2" s="3" t="s">
        <v>0</v>
      </c>
      <c r="Y2" s="1" t="s">
        <v>13</v>
      </c>
    </row>
    <row r="3" spans="1:26" x14ac:dyDescent="0.25">
      <c r="A3" t="s">
        <v>46</v>
      </c>
      <c r="B3" s="3"/>
      <c r="C3" s="1"/>
      <c r="D3" s="3"/>
      <c r="E3" s="1"/>
      <c r="F3" s="3"/>
      <c r="G3" s="1"/>
      <c r="H3" s="3"/>
      <c r="I3" s="1"/>
      <c r="J3" s="3"/>
      <c r="K3" s="1"/>
      <c r="L3" s="3"/>
      <c r="M3" s="1"/>
      <c r="N3" s="3"/>
      <c r="O3" s="1"/>
      <c r="P3" s="3"/>
      <c r="Q3" s="1"/>
      <c r="R3" s="3"/>
      <c r="S3" s="1"/>
      <c r="T3" s="3"/>
      <c r="U3" s="1"/>
      <c r="V3" s="3"/>
      <c r="W3" s="1"/>
      <c r="X3" s="3"/>
      <c r="Y3" s="1"/>
    </row>
    <row r="4" spans="1:26" x14ac:dyDescent="0.25">
      <c r="A4" t="s">
        <v>17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2">
        <f>AVERAGE(B4,D4,F4,H4,J4,L4,N4,P4,R4,T4,V4,X4)</f>
        <v>0.7234166666666666</v>
      </c>
    </row>
    <row r="5" spans="1:26" x14ac:dyDescent="0.25">
      <c r="A5" t="s">
        <v>19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2">
        <f t="shared" ref="Z5:Z24" si="0">AVERAGE(B5,D5,F5,H5,J5,L5,N5,P5,R5,T5,V5,X5)</f>
        <v>0.72333333333333349</v>
      </c>
    </row>
    <row r="6" spans="1:26" x14ac:dyDescent="0.25">
      <c r="A6" t="s">
        <v>18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2">
        <f t="shared" si="0"/>
        <v>0.72350000000000003</v>
      </c>
    </row>
    <row r="7" spans="1:26" x14ac:dyDescent="0.25">
      <c r="A7" t="s">
        <v>20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2">
        <f t="shared" si="0"/>
        <v>0.72433333333333338</v>
      </c>
    </row>
    <row r="8" spans="1:26" x14ac:dyDescent="0.25">
      <c r="A8" t="s">
        <v>10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2">
        <f t="shared" si="0"/>
        <v>0.72325000000000006</v>
      </c>
    </row>
    <row r="9" spans="1:26" x14ac:dyDescent="0.25">
      <c r="A9" t="s">
        <v>12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2">
        <f t="shared" si="0"/>
        <v>0.72375</v>
      </c>
    </row>
    <row r="10" spans="1:26" x14ac:dyDescent="0.25">
      <c r="A10" t="s">
        <v>47</v>
      </c>
      <c r="B10" s="3"/>
      <c r="C10" s="1"/>
      <c r="D10" s="3"/>
      <c r="E10" s="1"/>
      <c r="F10" s="3"/>
      <c r="G10" s="1"/>
      <c r="H10" s="3"/>
      <c r="I10" s="1"/>
      <c r="J10" s="3"/>
      <c r="K10" s="1"/>
      <c r="L10" s="3"/>
      <c r="M10" s="1"/>
      <c r="N10" s="3"/>
      <c r="O10" s="1"/>
      <c r="P10" s="3"/>
      <c r="Q10" s="1"/>
      <c r="R10" s="3"/>
      <c r="S10" s="1"/>
      <c r="T10" s="3"/>
      <c r="U10" s="1"/>
      <c r="V10" s="3"/>
      <c r="W10" s="1"/>
      <c r="X10" s="3"/>
      <c r="Y10" s="1"/>
      <c r="Z10" s="2"/>
    </row>
    <row r="11" spans="1:26" x14ac:dyDescent="0.25">
      <c r="A11" t="s">
        <v>1</v>
      </c>
      <c r="B11" s="3">
        <v>0.67611458005014502</v>
      </c>
      <c r="C11" s="1">
        <v>2</v>
      </c>
      <c r="D11" s="3">
        <v>0.75656533503103596</v>
      </c>
      <c r="E11" s="1">
        <v>35</v>
      </c>
      <c r="F11" s="3">
        <v>0.55649584357681503</v>
      </c>
      <c r="G11" s="1">
        <v>69</v>
      </c>
      <c r="H11" s="3">
        <v>0.69508333333333305</v>
      </c>
      <c r="I11" s="1">
        <v>69</v>
      </c>
      <c r="J11" s="3">
        <v>0.77037887485648604</v>
      </c>
      <c r="K11" s="1">
        <v>25</v>
      </c>
      <c r="L11" s="3">
        <v>0.72121826875986195</v>
      </c>
      <c r="M11" s="1">
        <v>14</v>
      </c>
      <c r="N11" s="3">
        <v>0.87036798335963494</v>
      </c>
      <c r="O11" s="1">
        <v>69</v>
      </c>
      <c r="P11" s="3">
        <v>0.71690759637188195</v>
      </c>
      <c r="Q11" s="1">
        <v>6</v>
      </c>
      <c r="R11" s="3">
        <v>0.73379104477611901</v>
      </c>
      <c r="S11" s="1">
        <v>64</v>
      </c>
      <c r="T11" s="3">
        <v>0.64944804019873104</v>
      </c>
      <c r="U11" s="1">
        <v>51</v>
      </c>
      <c r="V11" s="3">
        <v>0.91669276542436495</v>
      </c>
      <c r="W11" s="1">
        <v>63</v>
      </c>
      <c r="X11" s="3">
        <v>0.560274181744985</v>
      </c>
      <c r="Y11" s="1">
        <v>3</v>
      </c>
      <c r="Z11" s="2">
        <f t="shared" si="0"/>
        <v>0.71861148729028279</v>
      </c>
    </row>
    <row r="12" spans="1:26" x14ac:dyDescent="0.25">
      <c r="A12" t="s">
        <v>2</v>
      </c>
      <c r="B12" s="3">
        <v>0.67637709307641403</v>
      </c>
      <c r="C12" s="1">
        <v>2</v>
      </c>
      <c r="D12" s="3">
        <v>0.76110138468884203</v>
      </c>
      <c r="E12" s="1">
        <v>46</v>
      </c>
      <c r="F12" s="3">
        <v>0.55685328034501402</v>
      </c>
      <c r="G12" s="1">
        <v>69</v>
      </c>
      <c r="H12" s="3">
        <v>0.70016666666666605</v>
      </c>
      <c r="I12" s="1">
        <v>66</v>
      </c>
      <c r="J12" s="3">
        <v>0.78874856486796696</v>
      </c>
      <c r="K12" s="1">
        <v>40</v>
      </c>
      <c r="L12" s="3">
        <v>0.72225982206018402</v>
      </c>
      <c r="M12" s="1">
        <v>14</v>
      </c>
      <c r="N12" s="3">
        <v>0.87059706946468896</v>
      </c>
      <c r="O12" s="1">
        <v>69</v>
      </c>
      <c r="P12" s="3">
        <v>0.73816609977324199</v>
      </c>
      <c r="Q12" s="1">
        <v>6</v>
      </c>
      <c r="R12" s="3">
        <v>0.736533582089552</v>
      </c>
      <c r="S12" s="1">
        <v>66</v>
      </c>
      <c r="T12" s="3">
        <v>0.65027817096523699</v>
      </c>
      <c r="U12" s="1">
        <v>49</v>
      </c>
      <c r="V12" s="3">
        <v>0.91930264119427896</v>
      </c>
      <c r="W12" s="1">
        <v>67</v>
      </c>
      <c r="X12" s="3">
        <v>0.55138370262206604</v>
      </c>
      <c r="Y12" s="1">
        <v>2</v>
      </c>
      <c r="Z12" s="2">
        <f t="shared" si="0"/>
        <v>0.72264733981784601</v>
      </c>
    </row>
    <row r="13" spans="1:26" x14ac:dyDescent="0.25">
      <c r="A13" t="s">
        <v>3</v>
      </c>
      <c r="B13" s="3">
        <v>0.67649748845027802</v>
      </c>
      <c r="C13" s="1">
        <v>2</v>
      </c>
      <c r="D13" s="3">
        <v>0.76108148973420298</v>
      </c>
      <c r="E13" s="1">
        <v>41</v>
      </c>
      <c r="F13" s="3">
        <v>0.55717751260469095</v>
      </c>
      <c r="G13" s="1">
        <v>69</v>
      </c>
      <c r="H13" s="3">
        <v>0.70016666666666605</v>
      </c>
      <c r="I13" s="1">
        <v>66</v>
      </c>
      <c r="J13" s="3">
        <v>0.78473019517795595</v>
      </c>
      <c r="K13" s="1">
        <v>26</v>
      </c>
      <c r="L13" s="3">
        <v>0.72225982206018402</v>
      </c>
      <c r="M13" s="1">
        <v>14</v>
      </c>
      <c r="N13" s="3">
        <v>0.86970281047090103</v>
      </c>
      <c r="O13" s="1">
        <v>68</v>
      </c>
      <c r="P13" s="3">
        <v>0.73816609977324199</v>
      </c>
      <c r="Q13" s="1">
        <v>6</v>
      </c>
      <c r="R13" s="3">
        <v>0.73591417910447698</v>
      </c>
      <c r="S13" s="1">
        <v>69</v>
      </c>
      <c r="T13" s="3">
        <v>0.65000947105344398</v>
      </c>
      <c r="U13" s="1">
        <v>49</v>
      </c>
      <c r="V13" s="3">
        <v>0.91930264119427896</v>
      </c>
      <c r="W13" s="1">
        <v>67</v>
      </c>
      <c r="X13" s="3">
        <v>0.56068401291671799</v>
      </c>
      <c r="Y13" s="1">
        <v>3</v>
      </c>
      <c r="Z13" s="2">
        <f t="shared" si="0"/>
        <v>0.72297436576725327</v>
      </c>
    </row>
    <row r="14" spans="1:26" x14ac:dyDescent="0.25">
      <c r="A14" t="s">
        <v>4</v>
      </c>
      <c r="B14" s="3">
        <v>0.67607766637419597</v>
      </c>
      <c r="C14" s="1">
        <v>2</v>
      </c>
      <c r="D14" s="3">
        <v>0.75965900047747803</v>
      </c>
      <c r="E14" s="1">
        <v>44</v>
      </c>
      <c r="F14" s="3">
        <v>0.55788066690278704</v>
      </c>
      <c r="G14" s="1">
        <v>68</v>
      </c>
      <c r="H14" s="3">
        <v>0.70163888888888803</v>
      </c>
      <c r="I14" s="1">
        <v>68</v>
      </c>
      <c r="J14" s="3">
        <v>0.78989667049368495</v>
      </c>
      <c r="K14" s="1">
        <v>26</v>
      </c>
      <c r="L14" s="3">
        <v>0.70363769929803499</v>
      </c>
      <c r="M14" s="1">
        <v>6</v>
      </c>
      <c r="N14" s="3">
        <v>0.87082736022936702</v>
      </c>
      <c r="O14" s="1">
        <v>68</v>
      </c>
      <c r="P14" s="3">
        <v>0.74149659863945505</v>
      </c>
      <c r="Q14" s="1">
        <v>4</v>
      </c>
      <c r="R14" s="3">
        <v>0.73573134328358203</v>
      </c>
      <c r="S14" s="1">
        <v>68</v>
      </c>
      <c r="T14" s="3">
        <v>0.65043755324522501</v>
      </c>
      <c r="U14" s="1">
        <v>41</v>
      </c>
      <c r="V14" s="3">
        <v>0.91862407349410102</v>
      </c>
      <c r="W14" s="1">
        <v>68</v>
      </c>
      <c r="X14" s="3">
        <v>0.55588843380522901</v>
      </c>
      <c r="Y14" s="1">
        <v>3</v>
      </c>
      <c r="Z14" s="2">
        <f t="shared" si="0"/>
        <v>0.72181632959433573</v>
      </c>
    </row>
    <row r="15" spans="1:26" x14ac:dyDescent="0.25">
      <c r="A15" t="s">
        <v>5</v>
      </c>
      <c r="B15" s="3">
        <v>0.67587563498621395</v>
      </c>
      <c r="C15" s="1">
        <v>2</v>
      </c>
      <c r="D15" s="3">
        <v>0.75993752984243101</v>
      </c>
      <c r="E15" s="1">
        <v>45</v>
      </c>
      <c r="F15" s="3">
        <v>0.55630247614483896</v>
      </c>
      <c r="G15" s="1">
        <v>69</v>
      </c>
      <c r="H15" s="3">
        <v>0.69894444444444404</v>
      </c>
      <c r="I15" s="1">
        <v>69</v>
      </c>
      <c r="J15" s="3">
        <v>0.79104477611940305</v>
      </c>
      <c r="K15" s="1">
        <v>25</v>
      </c>
      <c r="L15" s="3">
        <v>0.72193927871796204</v>
      </c>
      <c r="M15" s="1">
        <v>14</v>
      </c>
      <c r="N15" s="3">
        <v>0.87129336272702795</v>
      </c>
      <c r="O15" s="1">
        <v>69</v>
      </c>
      <c r="P15" s="3">
        <v>0.73859126984126899</v>
      </c>
      <c r="Q15" s="1">
        <v>6</v>
      </c>
      <c r="R15" s="3">
        <v>0.73580597014925297</v>
      </c>
      <c r="S15" s="1">
        <v>63</v>
      </c>
      <c r="T15" s="3">
        <v>0.65086221926101195</v>
      </c>
      <c r="U15" s="1">
        <v>40</v>
      </c>
      <c r="V15" s="3">
        <v>0.92060757907923496</v>
      </c>
      <c r="W15" s="1">
        <v>64</v>
      </c>
      <c r="X15" s="3">
        <v>0.56247729083257503</v>
      </c>
      <c r="Y15" s="1">
        <v>2</v>
      </c>
      <c r="Z15" s="2">
        <f t="shared" si="0"/>
        <v>0.72364015267880555</v>
      </c>
    </row>
    <row r="16" spans="1:26" x14ac:dyDescent="0.25">
      <c r="A16" t="s">
        <v>6</v>
      </c>
      <c r="B16" s="3">
        <v>0.67692057596692501</v>
      </c>
      <c r="C16" s="1">
        <v>2</v>
      </c>
      <c r="D16" s="3">
        <v>0.76033542893522199</v>
      </c>
      <c r="E16" s="1">
        <v>45</v>
      </c>
      <c r="F16" s="3">
        <v>0.55642097066544405</v>
      </c>
      <c r="G16" s="1">
        <v>67</v>
      </c>
      <c r="H16" s="3">
        <v>0.69911111111111102</v>
      </c>
      <c r="I16" s="1">
        <v>69</v>
      </c>
      <c r="J16" s="3">
        <v>0.79219288174512004</v>
      </c>
      <c r="K16" s="1">
        <v>26</v>
      </c>
      <c r="L16" s="3">
        <v>0.72196308565054101</v>
      </c>
      <c r="M16" s="1">
        <v>14</v>
      </c>
      <c r="N16" s="3">
        <v>0.87070729582023199</v>
      </c>
      <c r="O16" s="1">
        <v>68</v>
      </c>
      <c r="P16" s="3">
        <v>0.73745748299319702</v>
      </c>
      <c r="Q16" s="1">
        <v>6</v>
      </c>
      <c r="R16" s="3">
        <v>0.73563059701492495</v>
      </c>
      <c r="S16" s="1">
        <v>63</v>
      </c>
      <c r="T16" s="3">
        <v>0.65077610806613295</v>
      </c>
      <c r="U16" s="1">
        <v>40</v>
      </c>
      <c r="V16" s="3">
        <v>0.92191251696419196</v>
      </c>
      <c r="W16" s="1">
        <v>64</v>
      </c>
      <c r="X16" s="3">
        <v>0.56167681933481906</v>
      </c>
      <c r="Y16" s="1">
        <v>2</v>
      </c>
      <c r="Z16" s="2">
        <f t="shared" si="0"/>
        <v>0.72375873952232161</v>
      </c>
    </row>
    <row r="17" spans="1:26" x14ac:dyDescent="0.25">
      <c r="A17" t="s">
        <v>7</v>
      </c>
      <c r="B17" s="3">
        <v>0.67594534504348702</v>
      </c>
      <c r="C17" s="1">
        <v>2</v>
      </c>
      <c r="D17" s="3">
        <v>0.75987784497851296</v>
      </c>
      <c r="E17" s="1">
        <v>45</v>
      </c>
      <c r="F17" s="3">
        <v>0.557581175257302</v>
      </c>
      <c r="G17" s="1">
        <v>69</v>
      </c>
      <c r="H17" s="3">
        <v>0.69819444444444401</v>
      </c>
      <c r="I17" s="1">
        <v>68</v>
      </c>
      <c r="J17" s="3">
        <v>0.790470723306544</v>
      </c>
      <c r="K17" s="1">
        <v>26</v>
      </c>
      <c r="L17" s="3">
        <v>0.72195883441258102</v>
      </c>
      <c r="M17" s="1">
        <v>14</v>
      </c>
      <c r="N17" s="3">
        <v>0.86942614031072196</v>
      </c>
      <c r="O17" s="1">
        <v>69</v>
      </c>
      <c r="P17" s="3">
        <v>0.73759920634920595</v>
      </c>
      <c r="Q17" s="1">
        <v>6</v>
      </c>
      <c r="R17" s="3">
        <v>0.73573507462686505</v>
      </c>
      <c r="S17" s="1">
        <v>69</v>
      </c>
      <c r="T17" s="3">
        <v>0.64984679039663396</v>
      </c>
      <c r="U17" s="1">
        <v>40</v>
      </c>
      <c r="V17" s="3">
        <v>0.91721474057834795</v>
      </c>
      <c r="W17" s="1">
        <v>67</v>
      </c>
      <c r="X17" s="3">
        <v>0.56091942062410305</v>
      </c>
      <c r="Y17" s="1">
        <v>3</v>
      </c>
      <c r="Z17" s="2">
        <f t="shared" si="0"/>
        <v>0.72289747836072893</v>
      </c>
    </row>
    <row r="18" spans="1:26" x14ac:dyDescent="0.25">
      <c r="A18" t="s">
        <v>23</v>
      </c>
      <c r="B18" s="3">
        <v>0.67636701280336597</v>
      </c>
      <c r="C18" s="1">
        <v>2</v>
      </c>
      <c r="D18" s="3">
        <v>0.76048464109501801</v>
      </c>
      <c r="E18" s="1">
        <v>44</v>
      </c>
      <c r="F18" s="3">
        <v>0.55756099212467103</v>
      </c>
      <c r="G18" s="1">
        <v>69</v>
      </c>
      <c r="H18" s="3">
        <v>0.69911111111111102</v>
      </c>
      <c r="I18" s="1">
        <v>68</v>
      </c>
      <c r="J18" s="3">
        <v>0.78587830080367305</v>
      </c>
      <c r="K18" s="1">
        <v>26</v>
      </c>
      <c r="L18" s="3">
        <v>0.72159322794797798</v>
      </c>
      <c r="M18" s="1">
        <v>14</v>
      </c>
      <c r="N18" s="3">
        <v>0.87056614986768799</v>
      </c>
      <c r="O18" s="1">
        <v>69</v>
      </c>
      <c r="P18" s="3">
        <v>0.739441609977324</v>
      </c>
      <c r="Q18" s="1">
        <v>6</v>
      </c>
      <c r="R18" s="3">
        <v>0.73623880597014901</v>
      </c>
      <c r="S18" s="1">
        <v>68</v>
      </c>
      <c r="T18" s="3">
        <v>0.65035697861144004</v>
      </c>
      <c r="U18" s="1">
        <v>40</v>
      </c>
      <c r="V18" s="3">
        <v>0.91909385113268605</v>
      </c>
      <c r="W18" s="1">
        <v>57</v>
      </c>
      <c r="X18" s="3">
        <v>0.56205978332255802</v>
      </c>
      <c r="Y18" s="1">
        <v>2</v>
      </c>
      <c r="Z18" s="2">
        <f t="shared" si="0"/>
        <v>0.72322937206397186</v>
      </c>
    </row>
    <row r="19" spans="1:26" x14ac:dyDescent="0.25">
      <c r="A19" t="s">
        <v>8</v>
      </c>
      <c r="B19" s="3">
        <v>0.67600852421962998</v>
      </c>
      <c r="C19" s="1">
        <v>2</v>
      </c>
      <c r="D19" s="3">
        <v>0.76066369568677294</v>
      </c>
      <c r="E19" s="1">
        <v>35</v>
      </c>
      <c r="F19" s="3">
        <v>0.55649649464561002</v>
      </c>
      <c r="G19" s="1">
        <v>69</v>
      </c>
      <c r="H19" s="3">
        <v>0.70174999999999998</v>
      </c>
      <c r="I19" s="1">
        <v>69</v>
      </c>
      <c r="J19" s="3">
        <v>0.785304247990815</v>
      </c>
      <c r="K19" s="1">
        <v>25</v>
      </c>
      <c r="L19" s="3">
        <v>0.72121826875986195</v>
      </c>
      <c r="M19" s="1">
        <v>14</v>
      </c>
      <c r="N19" s="3">
        <v>0.87186356828211498</v>
      </c>
      <c r="O19" s="1">
        <v>69</v>
      </c>
      <c r="P19" s="3">
        <v>0.73774092970521499</v>
      </c>
      <c r="Q19" s="1">
        <v>6</v>
      </c>
      <c r="R19" s="3">
        <v>0.73579104477611901</v>
      </c>
      <c r="S19" s="1">
        <v>64</v>
      </c>
      <c r="T19" s="3">
        <v>0.64984148943388498</v>
      </c>
      <c r="U19" s="1">
        <v>40</v>
      </c>
      <c r="V19" s="3">
        <v>0.91992901137905803</v>
      </c>
      <c r="W19" s="1">
        <v>63</v>
      </c>
      <c r="X19" s="3">
        <v>0.56154120402512997</v>
      </c>
      <c r="Y19" s="1">
        <v>3</v>
      </c>
      <c r="Z19" s="2">
        <f t="shared" si="0"/>
        <v>0.72317903990868426</v>
      </c>
    </row>
    <row r="20" spans="1:26" x14ac:dyDescent="0.25">
      <c r="A20" t="s">
        <v>24</v>
      </c>
      <c r="B20" s="3">
        <v>0.67687471782334196</v>
      </c>
      <c r="C20" s="1">
        <v>2</v>
      </c>
      <c r="D20" s="3">
        <v>0.761071542256883</v>
      </c>
      <c r="E20" s="1">
        <v>37</v>
      </c>
      <c r="F20" s="3">
        <v>0.55805385120213302</v>
      </c>
      <c r="G20" s="1">
        <v>69</v>
      </c>
      <c r="H20" s="3">
        <v>0.702972222222222</v>
      </c>
      <c r="I20" s="1">
        <v>68</v>
      </c>
      <c r="J20" s="3">
        <v>0.79276693455797898</v>
      </c>
      <c r="K20" s="1">
        <v>25</v>
      </c>
      <c r="L20" s="3">
        <v>0.72226067230777602</v>
      </c>
      <c r="M20" s="1">
        <v>14</v>
      </c>
      <c r="N20" s="3">
        <v>0.87148751370300304</v>
      </c>
      <c r="O20" s="1">
        <v>69</v>
      </c>
      <c r="P20" s="3">
        <v>0.734481292517006</v>
      </c>
      <c r="Q20" s="1">
        <v>6</v>
      </c>
      <c r="R20" s="3">
        <v>0.73481343283582001</v>
      </c>
      <c r="S20" s="1">
        <v>68</v>
      </c>
      <c r="T20" s="3">
        <v>0.64907426342533603</v>
      </c>
      <c r="U20" s="1">
        <v>45</v>
      </c>
      <c r="V20" s="3">
        <v>0.91643177784737395</v>
      </c>
      <c r="W20" s="1">
        <v>54</v>
      </c>
      <c r="X20" s="3">
        <v>0.56063752842377401</v>
      </c>
      <c r="Y20" s="1">
        <v>3</v>
      </c>
      <c r="Z20" s="2">
        <f t="shared" si="0"/>
        <v>0.72341047909355405</v>
      </c>
    </row>
    <row r="21" spans="1:26" x14ac:dyDescent="0.25">
      <c r="A21" t="s">
        <v>9</v>
      </c>
      <c r="B21" s="3">
        <v>0.67621055560761301</v>
      </c>
      <c r="C21" s="1">
        <v>2</v>
      </c>
      <c r="D21" s="3">
        <v>0.76024590163934402</v>
      </c>
      <c r="E21" s="1">
        <v>38</v>
      </c>
      <c r="F21" s="3">
        <v>0.557032975332305</v>
      </c>
      <c r="G21" s="1">
        <v>69</v>
      </c>
      <c r="H21" s="3">
        <v>0.69991666666666597</v>
      </c>
      <c r="I21" s="1">
        <v>68</v>
      </c>
      <c r="J21" s="3">
        <v>0.78702640642939103</v>
      </c>
      <c r="K21" s="1">
        <v>26</v>
      </c>
      <c r="L21" s="3">
        <v>0.72226832453610401</v>
      </c>
      <c r="M21" s="1">
        <v>14</v>
      </c>
      <c r="N21" s="3">
        <v>0.87177382114016999</v>
      </c>
      <c r="O21" s="1">
        <v>69</v>
      </c>
      <c r="P21" s="3">
        <v>0.73625283446711998</v>
      </c>
      <c r="Q21" s="1">
        <v>4</v>
      </c>
      <c r="R21" s="3">
        <v>0.73667164179104405</v>
      </c>
      <c r="S21" s="1">
        <v>68</v>
      </c>
      <c r="T21" s="3">
        <v>0.65045781470284403</v>
      </c>
      <c r="U21" s="1">
        <v>44</v>
      </c>
      <c r="V21" s="3">
        <v>0.91831088840171204</v>
      </c>
      <c r="W21" s="1">
        <v>66</v>
      </c>
      <c r="X21" s="3">
        <v>0.56240436561887397</v>
      </c>
      <c r="Y21" s="1">
        <v>3</v>
      </c>
      <c r="Z21" s="2">
        <f t="shared" si="0"/>
        <v>0.72321434969443221</v>
      </c>
    </row>
    <row r="22" spans="1:26" x14ac:dyDescent="0.25">
      <c r="A22" t="s">
        <v>10</v>
      </c>
      <c r="B22" s="3">
        <v>0.673590820420645</v>
      </c>
      <c r="C22" s="1">
        <v>2</v>
      </c>
      <c r="D22" s="3">
        <v>0.76149928378163301</v>
      </c>
      <c r="E22" s="1">
        <v>29</v>
      </c>
      <c r="F22" s="3">
        <v>0.55686109317054799</v>
      </c>
      <c r="G22" s="1">
        <v>68</v>
      </c>
      <c r="H22" s="3">
        <v>0.69783333333333297</v>
      </c>
      <c r="I22" s="1">
        <v>69</v>
      </c>
      <c r="J22" s="3">
        <v>0.785304247990815</v>
      </c>
      <c r="K22" s="1">
        <v>25</v>
      </c>
      <c r="L22" s="3">
        <v>0.72155921804429402</v>
      </c>
      <c r="M22" s="1">
        <v>14</v>
      </c>
      <c r="N22" s="3">
        <v>0.86722301863608398</v>
      </c>
      <c r="O22" s="1">
        <v>69</v>
      </c>
      <c r="P22" s="3">
        <v>0.73653628117913805</v>
      </c>
      <c r="Q22" s="1">
        <v>6</v>
      </c>
      <c r="R22" s="3">
        <v>0.736895522388059</v>
      </c>
      <c r="S22" s="1">
        <v>67</v>
      </c>
      <c r="T22" s="3">
        <v>0.65011454791504797</v>
      </c>
      <c r="U22" s="1">
        <v>40</v>
      </c>
      <c r="V22" s="3">
        <v>0.91862407349410102</v>
      </c>
      <c r="W22" s="1">
        <v>63</v>
      </c>
      <c r="X22" s="3">
        <v>0.56209816501397902</v>
      </c>
      <c r="Y22" s="1">
        <v>2</v>
      </c>
      <c r="Z22" s="2">
        <f t="shared" si="0"/>
        <v>0.722344967113973</v>
      </c>
    </row>
    <row r="23" spans="1:26" x14ac:dyDescent="0.25">
      <c r="A23" t="s">
        <v>11</v>
      </c>
      <c r="B23" s="3">
        <v>0.67460395884976898</v>
      </c>
      <c r="C23" s="1">
        <v>2</v>
      </c>
      <c r="D23" s="3">
        <v>0.76087259271048802</v>
      </c>
      <c r="E23" s="1">
        <v>45</v>
      </c>
      <c r="F23" s="3">
        <v>0.55773808283678405</v>
      </c>
      <c r="G23" s="1">
        <v>69</v>
      </c>
      <c r="H23" s="3">
        <v>0.69633333333333303</v>
      </c>
      <c r="I23" s="1">
        <v>69</v>
      </c>
      <c r="J23" s="3">
        <v>0.78760045924224997</v>
      </c>
      <c r="K23" s="1">
        <v>26</v>
      </c>
      <c r="L23" s="3">
        <v>0.72180153860804197</v>
      </c>
      <c r="M23" s="1">
        <v>14</v>
      </c>
      <c r="N23" s="3">
        <v>0.86949902221793895</v>
      </c>
      <c r="O23" s="1">
        <v>69</v>
      </c>
      <c r="P23" s="3">
        <v>0.73604024943310598</v>
      </c>
      <c r="Q23" s="1">
        <v>6</v>
      </c>
      <c r="R23" s="3">
        <v>0.73698507462686502</v>
      </c>
      <c r="S23" s="1">
        <v>69</v>
      </c>
      <c r="T23" s="3">
        <v>0.64985409394531102</v>
      </c>
      <c r="U23" s="1">
        <v>39</v>
      </c>
      <c r="V23" s="3">
        <v>0.91831088840171204</v>
      </c>
      <c r="W23" s="1">
        <v>61</v>
      </c>
      <c r="X23" s="3">
        <v>0.56325345392576398</v>
      </c>
      <c r="Y23" s="1">
        <v>2</v>
      </c>
      <c r="Z23" s="2">
        <f t="shared" si="0"/>
        <v>0.72274106234428015</v>
      </c>
    </row>
    <row r="24" spans="1:26" x14ac:dyDescent="0.25">
      <c r="A24" t="s">
        <v>12</v>
      </c>
      <c r="B24" s="3">
        <v>0.67518691097841099</v>
      </c>
      <c r="C24" s="1">
        <v>2</v>
      </c>
      <c r="D24" s="3">
        <v>0.76202650007957895</v>
      </c>
      <c r="E24" s="1">
        <v>45</v>
      </c>
      <c r="F24" s="3">
        <v>0.55710198862452598</v>
      </c>
      <c r="G24" s="1">
        <v>69</v>
      </c>
      <c r="H24" s="3">
        <v>0.698888888888889</v>
      </c>
      <c r="I24" s="1">
        <v>66</v>
      </c>
      <c r="J24" s="3">
        <v>0.785304247990815</v>
      </c>
      <c r="K24" s="1">
        <v>26</v>
      </c>
      <c r="L24" s="3">
        <v>0.72207106709473701</v>
      </c>
      <c r="M24" s="1">
        <v>14</v>
      </c>
      <c r="N24" s="3">
        <v>0.87039147422229102</v>
      </c>
      <c r="O24" s="1">
        <v>69</v>
      </c>
      <c r="P24" s="3">
        <v>0.739654195011337</v>
      </c>
      <c r="Q24" s="1">
        <v>6</v>
      </c>
      <c r="R24" s="3">
        <v>0.73526865671641695</v>
      </c>
      <c r="S24" s="1">
        <v>68</v>
      </c>
      <c r="T24" s="3">
        <v>0.65074936765404301</v>
      </c>
      <c r="U24" s="1">
        <v>41</v>
      </c>
      <c r="V24" s="3">
        <v>0.91768451821693298</v>
      </c>
      <c r="W24" s="1">
        <v>66</v>
      </c>
      <c r="X24" s="3">
        <v>0.56226533860328098</v>
      </c>
      <c r="Y24" s="1">
        <v>2</v>
      </c>
      <c r="Z24" s="2">
        <f t="shared" si="0"/>
        <v>0.72304942950677153</v>
      </c>
    </row>
    <row r="25" spans="1:26" x14ac:dyDescent="0.25">
      <c r="A25" t="s">
        <v>21</v>
      </c>
      <c r="B25" s="3"/>
      <c r="C25" s="1"/>
      <c r="D25" s="3"/>
      <c r="E25" s="1"/>
      <c r="F25" s="3"/>
      <c r="G25" s="1"/>
      <c r="H25" s="3"/>
      <c r="I25" s="1"/>
      <c r="J25" s="3"/>
      <c r="K25" s="1"/>
      <c r="L25" s="3"/>
      <c r="M25" s="1"/>
      <c r="N25" s="3"/>
      <c r="O25" s="1"/>
      <c r="P25" s="3"/>
      <c r="Q25" s="1"/>
      <c r="R25" s="3"/>
      <c r="S25" s="1"/>
      <c r="T25" s="3"/>
      <c r="U25" s="1"/>
      <c r="V25" s="3"/>
      <c r="W25" s="1"/>
      <c r="X25" s="3"/>
      <c r="Y25" s="1"/>
      <c r="Z25" s="2"/>
    </row>
    <row r="26" spans="1:26" x14ac:dyDescent="0.25">
      <c r="A26" t="s">
        <v>14</v>
      </c>
      <c r="B26" s="3">
        <v>0.67300000000000004</v>
      </c>
      <c r="C26" s="1">
        <v>2</v>
      </c>
      <c r="D26" s="3">
        <v>0.76100000000000001</v>
      </c>
      <c r="E26" s="1">
        <v>43</v>
      </c>
      <c r="F26" s="3">
        <v>0.55800000000000005</v>
      </c>
      <c r="G26" s="1">
        <v>69</v>
      </c>
      <c r="H26" s="3">
        <v>0.7</v>
      </c>
      <c r="I26" s="1">
        <v>68</v>
      </c>
      <c r="J26" s="3">
        <v>0.79</v>
      </c>
      <c r="K26" s="1">
        <v>25</v>
      </c>
      <c r="L26" s="3">
        <v>0.72199999999999998</v>
      </c>
      <c r="M26" s="1">
        <v>13</v>
      </c>
      <c r="N26" s="3">
        <v>0.873</v>
      </c>
      <c r="O26" s="1">
        <v>69</v>
      </c>
      <c r="P26" s="3">
        <v>0.73699999999999999</v>
      </c>
      <c r="Q26" s="1">
        <v>5</v>
      </c>
      <c r="R26" s="3">
        <v>0.73599999999999999</v>
      </c>
      <c r="S26" s="1">
        <v>67</v>
      </c>
      <c r="T26" s="3">
        <v>0.65</v>
      </c>
      <c r="U26" s="1">
        <v>39</v>
      </c>
      <c r="V26" s="3">
        <v>0.91900000000000004</v>
      </c>
      <c r="W26" s="1">
        <v>63</v>
      </c>
      <c r="X26" s="3">
        <v>0.56100000000000005</v>
      </c>
      <c r="Y26" s="1">
        <v>2</v>
      </c>
      <c r="Z26" s="2">
        <f t="shared" ref="Z26:Z48" si="1">AVERAGE(B26,D26,F26,H26,J26,L26,N26,P26,R26,T26,V26,X26)</f>
        <v>0.72333333333333349</v>
      </c>
    </row>
    <row r="27" spans="1:26" x14ac:dyDescent="0.25">
      <c r="A27" t="s">
        <v>15</v>
      </c>
      <c r="B27" s="3">
        <v>0.70199999999999996</v>
      </c>
      <c r="C27" s="1">
        <v>11</v>
      </c>
      <c r="D27" s="3">
        <v>0.755</v>
      </c>
      <c r="E27" s="1">
        <v>48</v>
      </c>
      <c r="F27" s="3">
        <v>0.60199999999999998</v>
      </c>
      <c r="G27" s="1">
        <v>69</v>
      </c>
      <c r="H27" s="3">
        <v>0.64</v>
      </c>
      <c r="I27" s="1">
        <v>69</v>
      </c>
      <c r="J27" s="3">
        <v>0.80400000000000005</v>
      </c>
      <c r="K27" s="1">
        <v>50</v>
      </c>
      <c r="L27" s="3">
        <v>0.70299999999999996</v>
      </c>
      <c r="M27" s="1">
        <v>69</v>
      </c>
      <c r="N27" s="3">
        <v>0.81100000000000005</v>
      </c>
      <c r="O27" s="1">
        <v>69</v>
      </c>
      <c r="P27" s="3">
        <v>0.63900000000000001</v>
      </c>
      <c r="Q27" s="1">
        <v>5</v>
      </c>
      <c r="R27" s="3">
        <v>0.67200000000000004</v>
      </c>
      <c r="S27" s="1">
        <v>69</v>
      </c>
      <c r="T27" s="3">
        <v>0.47799999999999998</v>
      </c>
      <c r="U27" s="1">
        <v>2</v>
      </c>
      <c r="V27" s="3">
        <v>0.82299999999999995</v>
      </c>
      <c r="W27" s="1">
        <v>69</v>
      </c>
      <c r="X27" s="3">
        <v>0.67</v>
      </c>
      <c r="Y27" s="1">
        <v>5</v>
      </c>
      <c r="Z27" s="2">
        <f t="shared" si="1"/>
        <v>0.69158333333333333</v>
      </c>
    </row>
    <row r="28" spans="1:26" x14ac:dyDescent="0.25">
      <c r="A28" t="s">
        <v>25</v>
      </c>
      <c r="B28" s="3">
        <v>0.67740031199999995</v>
      </c>
      <c r="C28" s="1">
        <v>3</v>
      </c>
      <c r="D28" s="3">
        <v>0.75807735200000004</v>
      </c>
      <c r="E28" s="1">
        <v>51</v>
      </c>
      <c r="F28" s="3">
        <v>0.53777631400000003</v>
      </c>
      <c r="G28" s="1">
        <v>70</v>
      </c>
      <c r="H28" s="3">
        <v>0.66972222199999998</v>
      </c>
      <c r="I28" s="1">
        <v>70</v>
      </c>
      <c r="J28" s="3">
        <v>0.75889781899999997</v>
      </c>
      <c r="K28" s="1">
        <v>51</v>
      </c>
      <c r="L28" s="3">
        <v>0.74211735499999998</v>
      </c>
      <c r="M28" s="1">
        <v>18</v>
      </c>
      <c r="N28" s="3">
        <v>0.84751385899999998</v>
      </c>
      <c r="O28" s="1">
        <v>70</v>
      </c>
      <c r="P28" s="3">
        <v>0.72108843499999997</v>
      </c>
      <c r="Q28" s="1">
        <v>6</v>
      </c>
      <c r="R28" s="3">
        <v>0.73053731300000002</v>
      </c>
      <c r="S28" s="1">
        <v>70</v>
      </c>
      <c r="T28" s="3">
        <v>0.64026889300000001</v>
      </c>
      <c r="U28" s="1">
        <v>70</v>
      </c>
      <c r="V28" s="3">
        <v>0.91042906400000001</v>
      </c>
      <c r="W28" s="1">
        <v>70</v>
      </c>
      <c r="X28" s="3">
        <v>0.566802111</v>
      </c>
      <c r="Y28" s="1">
        <v>3</v>
      </c>
      <c r="Z28" s="2">
        <f t="shared" si="1"/>
        <v>0.71338592074999996</v>
      </c>
    </row>
    <row r="29" spans="1:26" x14ac:dyDescent="0.25">
      <c r="A29" t="s">
        <v>26</v>
      </c>
      <c r="B29" s="3">
        <v>0.72094709099999998</v>
      </c>
      <c r="C29" s="1">
        <v>38</v>
      </c>
      <c r="D29" s="3">
        <v>0.75760499699999995</v>
      </c>
      <c r="E29" s="1">
        <v>70</v>
      </c>
      <c r="F29" s="3">
        <v>0.56835961899999998</v>
      </c>
      <c r="G29" s="1">
        <v>21</v>
      </c>
      <c r="H29" s="3">
        <v>0.55549999999999999</v>
      </c>
      <c r="I29" s="1">
        <v>70</v>
      </c>
      <c r="J29" s="3">
        <v>0.74167623400000005</v>
      </c>
      <c r="K29" s="1">
        <v>65</v>
      </c>
      <c r="L29" s="3">
        <v>0.65276568400000001</v>
      </c>
      <c r="M29" s="1">
        <v>70</v>
      </c>
      <c r="N29" s="3">
        <v>0.77426565999999997</v>
      </c>
      <c r="O29" s="1">
        <v>70</v>
      </c>
      <c r="P29" s="3">
        <v>0.57560827199999998</v>
      </c>
      <c r="Q29" s="1">
        <v>19</v>
      </c>
      <c r="R29" s="3">
        <v>0.61534195199999997</v>
      </c>
      <c r="S29" s="1">
        <v>69</v>
      </c>
      <c r="T29" s="3">
        <v>0.472106894</v>
      </c>
      <c r="U29" s="1">
        <v>3</v>
      </c>
      <c r="V29" s="3">
        <v>0.77322283700000005</v>
      </c>
      <c r="W29" s="1">
        <v>70</v>
      </c>
      <c r="X29" s="3">
        <v>0.68352722399999999</v>
      </c>
      <c r="Y29" s="1">
        <v>14</v>
      </c>
      <c r="Z29" s="2">
        <f>AVERAGE(B29,D29,F29,H29,J29,L29,N29,P29,R29,T29,V29,X29)</f>
        <v>0.65757720533333341</v>
      </c>
    </row>
    <row r="30" spans="1:26" x14ac:dyDescent="0.25">
      <c r="A30" t="s">
        <v>27</v>
      </c>
      <c r="B30" s="3">
        <v>0.789157318</v>
      </c>
      <c r="C30" s="1">
        <v>28</v>
      </c>
      <c r="D30" s="3">
        <v>0.75181445999999996</v>
      </c>
      <c r="E30" s="1">
        <v>6</v>
      </c>
      <c r="F30" s="3">
        <v>0.56170178999999998</v>
      </c>
      <c r="G30" s="1">
        <v>50</v>
      </c>
      <c r="H30" s="3">
        <v>0.54322222200000003</v>
      </c>
      <c r="I30" s="1">
        <v>5</v>
      </c>
      <c r="J30" s="3">
        <v>0.72904723299999996</v>
      </c>
      <c r="K30" s="1">
        <v>69</v>
      </c>
      <c r="L30" s="3">
        <v>0.64681935099999999</v>
      </c>
      <c r="M30" s="1">
        <v>41</v>
      </c>
      <c r="N30" s="3">
        <v>0.80210860799999995</v>
      </c>
      <c r="O30" s="1">
        <v>70</v>
      </c>
      <c r="P30" s="3">
        <v>0.52976190499999998</v>
      </c>
      <c r="Q30" s="1">
        <v>23</v>
      </c>
      <c r="R30" s="3">
        <v>0.585029507</v>
      </c>
      <c r="S30" s="1">
        <v>65</v>
      </c>
      <c r="T30" s="3">
        <v>0.5</v>
      </c>
      <c r="U30" s="1">
        <v>2</v>
      </c>
      <c r="V30" s="3">
        <v>0.70696314900000001</v>
      </c>
      <c r="W30" s="1">
        <v>69</v>
      </c>
      <c r="X30" s="3">
        <v>0.69836539900000005</v>
      </c>
      <c r="Y30" s="1">
        <v>16</v>
      </c>
      <c r="Z30" s="2">
        <f t="shared" si="1"/>
        <v>0.65366591183333334</v>
      </c>
    </row>
    <row r="31" spans="1:26" x14ac:dyDescent="0.25">
      <c r="A31" t="s">
        <v>28</v>
      </c>
      <c r="B31" s="3">
        <v>0.67668731000000004</v>
      </c>
      <c r="C31" s="1">
        <v>2</v>
      </c>
      <c r="D31" s="3">
        <v>0.76060401799999999</v>
      </c>
      <c r="E31" s="1">
        <v>44</v>
      </c>
      <c r="F31" s="3">
        <v>0.55760878800000002</v>
      </c>
      <c r="G31" s="1">
        <v>70</v>
      </c>
      <c r="H31" s="3">
        <v>0.69988888900000001</v>
      </c>
      <c r="I31" s="1">
        <v>69</v>
      </c>
      <c r="J31" s="3">
        <v>0.78989667900000005</v>
      </c>
      <c r="K31" s="1">
        <v>26</v>
      </c>
      <c r="L31" s="3">
        <v>0.72209675500000003</v>
      </c>
      <c r="M31" s="1">
        <v>14</v>
      </c>
      <c r="N31" s="3">
        <v>0.87280661599999998</v>
      </c>
      <c r="O31" s="1">
        <v>70</v>
      </c>
      <c r="P31" s="3">
        <v>0.73738662099999996</v>
      </c>
      <c r="Q31" s="1">
        <v>6</v>
      </c>
      <c r="R31" s="3">
        <v>0.73603731299999997</v>
      </c>
      <c r="S31" s="1">
        <v>68</v>
      </c>
      <c r="T31" s="3">
        <v>0.65049562800000005</v>
      </c>
      <c r="U31" s="1">
        <v>40</v>
      </c>
      <c r="V31" s="3">
        <v>0.91909835100000004</v>
      </c>
      <c r="W31" s="1">
        <v>64</v>
      </c>
      <c r="X31" s="3">
        <v>0.56177617300000005</v>
      </c>
      <c r="Y31" s="1">
        <v>2</v>
      </c>
      <c r="Z31" s="2">
        <f t="shared" si="1"/>
        <v>0.72369859508333334</v>
      </c>
    </row>
    <row r="32" spans="1:26" x14ac:dyDescent="0.25">
      <c r="A32" t="s">
        <v>29</v>
      </c>
      <c r="B32" s="3">
        <v>0.71337399999999995</v>
      </c>
      <c r="C32" s="1">
        <v>46</v>
      </c>
      <c r="D32" s="3">
        <v>0.67529399999999995</v>
      </c>
      <c r="E32" s="1">
        <v>70</v>
      </c>
      <c r="F32" s="3">
        <v>0.5</v>
      </c>
      <c r="G32" s="1">
        <v>2</v>
      </c>
      <c r="H32" s="3">
        <v>0.60105600000000003</v>
      </c>
      <c r="I32" s="1">
        <v>66</v>
      </c>
      <c r="J32" s="3">
        <v>0.68082699999999996</v>
      </c>
      <c r="K32" s="1">
        <v>28</v>
      </c>
      <c r="L32" s="3">
        <v>0.54835400000000001</v>
      </c>
      <c r="M32" s="1">
        <v>14</v>
      </c>
      <c r="N32" s="3">
        <v>0.50781500000000002</v>
      </c>
      <c r="O32" s="1">
        <v>70</v>
      </c>
      <c r="P32" s="3">
        <v>0.58191599999999999</v>
      </c>
      <c r="Q32" s="1">
        <v>8</v>
      </c>
      <c r="R32" s="3">
        <v>0.51128399999999996</v>
      </c>
      <c r="S32" s="1">
        <v>23</v>
      </c>
      <c r="T32" s="3">
        <v>0.54708599999999996</v>
      </c>
      <c r="U32" s="1">
        <v>70</v>
      </c>
      <c r="V32" s="3">
        <v>0.76479799999999998</v>
      </c>
      <c r="W32" s="1">
        <v>69</v>
      </c>
      <c r="X32" s="3">
        <v>0.85033300000000001</v>
      </c>
      <c r="Y32" s="1">
        <v>29</v>
      </c>
      <c r="Z32" s="2">
        <f>AVERAGE(B32,D32,F32,H32,J32,L32,N32,P32,R32,T32,V32,X32)</f>
        <v>0.62351141666666654</v>
      </c>
    </row>
    <row r="33" spans="1:26" x14ac:dyDescent="0.25">
      <c r="A33" t="s">
        <v>30</v>
      </c>
      <c r="B33" s="3">
        <v>0.5</v>
      </c>
      <c r="C33" s="1">
        <v>2</v>
      </c>
      <c r="D33" s="3">
        <v>0.5</v>
      </c>
      <c r="E33" s="1">
        <v>2</v>
      </c>
      <c r="F33" s="3">
        <v>0.50321884100000003</v>
      </c>
      <c r="G33" s="1">
        <v>36</v>
      </c>
      <c r="H33" s="3">
        <v>0.65425</v>
      </c>
      <c r="I33" s="1">
        <v>53</v>
      </c>
      <c r="J33" s="3">
        <v>0.70750810799999997</v>
      </c>
      <c r="K33" s="1">
        <v>36</v>
      </c>
      <c r="L33" s="3">
        <v>0.5</v>
      </c>
      <c r="M33" s="1">
        <v>2</v>
      </c>
      <c r="N33" s="3">
        <v>0.64988073899999999</v>
      </c>
      <c r="O33" s="1">
        <v>70</v>
      </c>
      <c r="P33" s="3">
        <v>0.76941610000000005</v>
      </c>
      <c r="Q33" s="1">
        <v>57</v>
      </c>
      <c r="R33" s="3">
        <v>0.66786567600000002</v>
      </c>
      <c r="S33" s="1">
        <v>70</v>
      </c>
      <c r="T33" s="3">
        <v>0.5</v>
      </c>
      <c r="U33" s="1">
        <v>2</v>
      </c>
      <c r="V33" s="3">
        <v>0.78510205</v>
      </c>
      <c r="W33" s="1">
        <v>70</v>
      </c>
      <c r="X33" s="3">
        <v>0.70946765499999997</v>
      </c>
      <c r="Y33" s="1">
        <v>62</v>
      </c>
      <c r="Z33" s="2">
        <f t="shared" si="1"/>
        <v>0.62055909741666671</v>
      </c>
    </row>
    <row r="34" spans="1:26" x14ac:dyDescent="0.25">
      <c r="A34" t="s">
        <v>31</v>
      </c>
      <c r="B34" s="3">
        <v>0.67740031199999995</v>
      </c>
      <c r="C34" s="1">
        <v>3</v>
      </c>
      <c r="D34" s="3">
        <v>0.75807735200000004</v>
      </c>
      <c r="E34" s="1">
        <v>51</v>
      </c>
      <c r="F34" s="3">
        <v>0.53777631400000003</v>
      </c>
      <c r="G34" s="1">
        <v>70</v>
      </c>
      <c r="H34" s="3">
        <v>0.66972222199999998</v>
      </c>
      <c r="I34" s="1">
        <v>70</v>
      </c>
      <c r="J34" s="3">
        <v>0.75889781899999997</v>
      </c>
      <c r="K34" s="1">
        <v>51</v>
      </c>
      <c r="L34" s="3">
        <v>0.74211735499999998</v>
      </c>
      <c r="M34" s="1">
        <v>18</v>
      </c>
      <c r="N34" s="3">
        <v>0.84751385899999998</v>
      </c>
      <c r="O34" s="1">
        <v>70</v>
      </c>
      <c r="P34" s="3">
        <v>0.72108843499999997</v>
      </c>
      <c r="Q34" s="1">
        <v>6</v>
      </c>
      <c r="R34" s="3">
        <v>0.73053731300000002</v>
      </c>
      <c r="S34" s="1">
        <v>70</v>
      </c>
      <c r="T34" s="3">
        <v>0.64026889300000001</v>
      </c>
      <c r="U34" s="1">
        <v>70</v>
      </c>
      <c r="V34" s="3">
        <v>0.91042906400000001</v>
      </c>
      <c r="W34" s="1">
        <v>70</v>
      </c>
      <c r="X34" s="3">
        <v>0.566802111</v>
      </c>
      <c r="Y34" s="1">
        <v>3</v>
      </c>
      <c r="Z34" s="2">
        <f t="shared" si="1"/>
        <v>0.71338592074999996</v>
      </c>
    </row>
    <row r="35" spans="1:26" x14ac:dyDescent="0.25">
      <c r="A35" t="s">
        <v>32</v>
      </c>
      <c r="B35" s="3">
        <v>0.713129071</v>
      </c>
      <c r="C35" s="1">
        <v>31</v>
      </c>
      <c r="D35" s="3">
        <v>0.75298426299999999</v>
      </c>
      <c r="E35" s="1">
        <v>70</v>
      </c>
      <c r="F35" s="3">
        <v>0.57978457400000005</v>
      </c>
      <c r="G35" s="1">
        <v>69</v>
      </c>
      <c r="H35" s="3">
        <v>0.56316666699999995</v>
      </c>
      <c r="I35" s="1">
        <v>68</v>
      </c>
      <c r="J35" s="3">
        <v>0.74628656800000004</v>
      </c>
      <c r="K35" s="1">
        <v>64</v>
      </c>
      <c r="L35" s="3">
        <v>0.68026917899999995</v>
      </c>
      <c r="M35" s="1">
        <v>70</v>
      </c>
      <c r="N35" s="3">
        <v>0.75350314299999999</v>
      </c>
      <c r="O35" s="1">
        <v>70</v>
      </c>
      <c r="P35" s="3">
        <v>0.52508503399999995</v>
      </c>
      <c r="Q35" s="1">
        <v>11</v>
      </c>
      <c r="R35" s="3">
        <v>0.61620895499999995</v>
      </c>
      <c r="S35" s="1">
        <v>70</v>
      </c>
      <c r="T35" s="3">
        <v>0.50693731099999995</v>
      </c>
      <c r="U35" s="1">
        <v>2</v>
      </c>
      <c r="V35" s="3">
        <v>0.73682012699999999</v>
      </c>
      <c r="W35" s="1">
        <v>70</v>
      </c>
      <c r="X35" s="3">
        <v>0.70205572299999996</v>
      </c>
      <c r="Y35" s="1">
        <v>6</v>
      </c>
      <c r="Z35" s="2">
        <f t="shared" si="1"/>
        <v>0.65635255124999992</v>
      </c>
    </row>
    <row r="36" spans="1:26" x14ac:dyDescent="0.25">
      <c r="A36" t="s">
        <v>16</v>
      </c>
      <c r="B36" s="3">
        <v>0.62616300000000003</v>
      </c>
      <c r="C36" s="1">
        <v>55</v>
      </c>
      <c r="D36" s="3">
        <v>0.755193</v>
      </c>
      <c r="E36" s="1">
        <v>41</v>
      </c>
      <c r="F36" s="3">
        <v>0.56922300000000003</v>
      </c>
      <c r="G36" s="1">
        <v>70</v>
      </c>
      <c r="H36" s="3">
        <v>0.56472199999999995</v>
      </c>
      <c r="I36" s="1">
        <v>70</v>
      </c>
      <c r="J36" s="3">
        <v>0.73019500000000004</v>
      </c>
      <c r="K36" s="1">
        <v>51</v>
      </c>
      <c r="L36" s="3">
        <v>0.68490499999999999</v>
      </c>
      <c r="M36" s="1">
        <v>32</v>
      </c>
      <c r="N36" s="3">
        <v>0.69914799999999999</v>
      </c>
      <c r="O36" s="1">
        <v>70</v>
      </c>
      <c r="P36" s="3">
        <v>0.70946699999999996</v>
      </c>
      <c r="Q36" s="1">
        <v>70</v>
      </c>
      <c r="R36" s="3">
        <v>0.66153700000000004</v>
      </c>
      <c r="S36" s="1">
        <v>70</v>
      </c>
      <c r="T36" s="3">
        <v>0.48705199999999998</v>
      </c>
      <c r="U36" s="1">
        <v>3</v>
      </c>
      <c r="V36" s="3">
        <v>0.63503500000000002</v>
      </c>
      <c r="W36" s="1">
        <v>70</v>
      </c>
      <c r="X36" s="3">
        <v>0.59815799999999997</v>
      </c>
      <c r="Y36" s="1">
        <v>2</v>
      </c>
      <c r="Z36" s="2">
        <f>AVERAGE(B36,D36,F36,H36,J36,L36,N36,P36,R36,T36,V36,X36)</f>
        <v>0.64339983333333339</v>
      </c>
    </row>
    <row r="37" spans="1:26" x14ac:dyDescent="0.25">
      <c r="A37" t="s">
        <v>22</v>
      </c>
      <c r="B37" s="3"/>
      <c r="C37" s="1"/>
      <c r="D37" s="3"/>
      <c r="E37" s="1"/>
      <c r="F37" s="3"/>
      <c r="G37" s="1"/>
      <c r="H37" s="3"/>
      <c r="I37" s="1"/>
      <c r="J37" s="3"/>
      <c r="K37" s="1"/>
      <c r="L37" s="3"/>
      <c r="M37" s="1"/>
      <c r="N37" s="3"/>
      <c r="O37" s="1"/>
      <c r="P37" s="3"/>
      <c r="Q37" s="1"/>
      <c r="R37" s="3"/>
      <c r="S37" s="1"/>
      <c r="T37" s="3"/>
      <c r="U37" s="1"/>
      <c r="V37" s="3"/>
      <c r="W37" s="1"/>
      <c r="X37" s="3"/>
      <c r="Y37" s="1"/>
      <c r="Z37" s="2"/>
    </row>
    <row r="38" spans="1:26" x14ac:dyDescent="0.25">
      <c r="A38" t="s">
        <v>14</v>
      </c>
      <c r="B38" s="3">
        <v>0.64897000000000005</v>
      </c>
      <c r="C38" s="1">
        <v>1</v>
      </c>
      <c r="D38" s="7">
        <v>0.75205</v>
      </c>
      <c r="E38" s="8">
        <v>60</v>
      </c>
      <c r="F38" s="7">
        <v>0.66669</v>
      </c>
      <c r="G38" s="8">
        <v>100</v>
      </c>
      <c r="H38" s="7">
        <v>0.68383000000000005</v>
      </c>
      <c r="I38" s="8">
        <v>81</v>
      </c>
      <c r="J38" s="7">
        <v>0.78588000000000002</v>
      </c>
      <c r="K38" s="8">
        <v>21</v>
      </c>
      <c r="L38" s="7">
        <v>0.72226999999999997</v>
      </c>
      <c r="M38" s="8">
        <v>12</v>
      </c>
      <c r="N38" s="7">
        <v>0.84082000000000001</v>
      </c>
      <c r="O38" s="8">
        <v>100</v>
      </c>
      <c r="P38" s="7">
        <v>0.65234999999999999</v>
      </c>
      <c r="Q38" s="8">
        <v>4</v>
      </c>
      <c r="R38" s="7">
        <v>0.73224</v>
      </c>
      <c r="S38" s="8">
        <v>85</v>
      </c>
      <c r="T38" s="7">
        <v>0.57347000000000004</v>
      </c>
      <c r="U38" s="8">
        <v>63</v>
      </c>
      <c r="V38" s="7">
        <v>0.90114000000000005</v>
      </c>
      <c r="W38" s="8">
        <v>15</v>
      </c>
      <c r="X38" s="7">
        <v>0.55196999999999996</v>
      </c>
      <c r="Y38" s="8">
        <v>1</v>
      </c>
      <c r="Z38" s="9">
        <f t="shared" si="1"/>
        <v>0.70930666666666664</v>
      </c>
    </row>
    <row r="39" spans="1:26" x14ac:dyDescent="0.25">
      <c r="A39" t="s">
        <v>15</v>
      </c>
      <c r="B39" s="3">
        <v>0.66761999999999999</v>
      </c>
      <c r="C39" s="1">
        <v>9</v>
      </c>
      <c r="D39" s="7">
        <v>0.74421000000000004</v>
      </c>
      <c r="E39" s="8">
        <v>94</v>
      </c>
      <c r="F39" s="7">
        <v>0.64695999999999998</v>
      </c>
      <c r="G39" s="8">
        <v>100</v>
      </c>
      <c r="H39" s="7">
        <v>0.65583000000000002</v>
      </c>
      <c r="I39" s="8">
        <v>100</v>
      </c>
      <c r="J39" s="7">
        <v>0.80367</v>
      </c>
      <c r="K39" s="8">
        <v>48</v>
      </c>
      <c r="L39" s="7">
        <v>0.74087999999999998</v>
      </c>
      <c r="M39" s="8">
        <v>98</v>
      </c>
      <c r="N39" s="7">
        <v>0.81871000000000005</v>
      </c>
      <c r="O39" s="8">
        <v>60</v>
      </c>
      <c r="P39" s="7">
        <v>0.61195999999999995</v>
      </c>
      <c r="Q39" s="8">
        <v>6</v>
      </c>
      <c r="R39" s="7">
        <v>0.68955</v>
      </c>
      <c r="S39" s="8">
        <v>100</v>
      </c>
      <c r="T39" s="7">
        <v>0.47383999999999998</v>
      </c>
      <c r="U39" s="8">
        <v>2</v>
      </c>
      <c r="V39" s="7">
        <v>0.83318000000000003</v>
      </c>
      <c r="W39" s="8">
        <v>100</v>
      </c>
      <c r="X39" s="7">
        <v>0.63085000000000002</v>
      </c>
      <c r="Y39" s="8">
        <v>6</v>
      </c>
      <c r="Z39" s="9">
        <f t="shared" si="1"/>
        <v>0.69310500000000008</v>
      </c>
    </row>
    <row r="40" spans="1:26" x14ac:dyDescent="0.25">
      <c r="A40" t="s">
        <v>25</v>
      </c>
      <c r="B40" s="3">
        <v>0.6653</v>
      </c>
      <c r="C40" s="1">
        <v>21</v>
      </c>
      <c r="D40" s="7">
        <v>0.73812</v>
      </c>
      <c r="E40" s="8">
        <v>65</v>
      </c>
      <c r="F40" s="7">
        <v>0.59792000000000001</v>
      </c>
      <c r="G40" s="8">
        <v>100</v>
      </c>
      <c r="H40" s="7">
        <v>0.56933</v>
      </c>
      <c r="I40" s="8">
        <v>100</v>
      </c>
      <c r="J40" s="7">
        <v>0.73823000000000005</v>
      </c>
      <c r="K40" s="8">
        <v>78</v>
      </c>
      <c r="L40" s="7">
        <v>0.74307000000000001</v>
      </c>
      <c r="M40" s="8">
        <v>98</v>
      </c>
      <c r="N40" s="7">
        <v>0.80467999999999995</v>
      </c>
      <c r="O40" s="8">
        <v>98</v>
      </c>
      <c r="P40" s="7">
        <v>0.60728000000000004</v>
      </c>
      <c r="Q40" s="8">
        <v>14</v>
      </c>
      <c r="R40" s="7">
        <v>0.62131000000000003</v>
      </c>
      <c r="S40" s="8">
        <v>100</v>
      </c>
      <c r="T40" s="7">
        <v>0.50119000000000002</v>
      </c>
      <c r="U40" s="8">
        <v>2</v>
      </c>
      <c r="V40" s="7">
        <v>0.74350000000000005</v>
      </c>
      <c r="W40" s="8">
        <v>100</v>
      </c>
      <c r="X40" s="7">
        <v>0.67679999999999996</v>
      </c>
      <c r="Y40" s="8">
        <v>7</v>
      </c>
      <c r="Z40" s="9">
        <f t="shared" si="1"/>
        <v>0.66722750000000008</v>
      </c>
    </row>
    <row r="41" spans="1:26" x14ac:dyDescent="0.25">
      <c r="A41" t="s">
        <v>26</v>
      </c>
      <c r="B41" s="3">
        <v>0.67722000000000004</v>
      </c>
      <c r="C41" s="10">
        <v>23</v>
      </c>
      <c r="D41" s="7">
        <v>0.73836000000000002</v>
      </c>
      <c r="E41" s="8">
        <v>77</v>
      </c>
      <c r="F41" s="7">
        <v>0.59499999999999997</v>
      </c>
      <c r="G41" s="8">
        <v>100</v>
      </c>
      <c r="H41" s="7">
        <v>0.56138999999999994</v>
      </c>
      <c r="I41" s="8">
        <v>60</v>
      </c>
      <c r="J41" s="7">
        <v>0.72272999999999998</v>
      </c>
      <c r="K41" s="8">
        <v>78</v>
      </c>
      <c r="L41" s="7">
        <v>0.70065999999999995</v>
      </c>
      <c r="M41" s="8">
        <v>100</v>
      </c>
      <c r="N41" s="7">
        <v>0.79381000000000002</v>
      </c>
      <c r="O41" s="8">
        <v>86</v>
      </c>
      <c r="P41" s="7">
        <v>0.58311999999999997</v>
      </c>
      <c r="Q41" s="8">
        <v>13</v>
      </c>
      <c r="R41" s="7">
        <v>0.60921999999999998</v>
      </c>
      <c r="S41" s="8">
        <v>99</v>
      </c>
      <c r="T41" s="7">
        <v>0.49658000000000002</v>
      </c>
      <c r="U41" s="8">
        <v>2</v>
      </c>
      <c r="V41" s="7">
        <v>0.75278999999999996</v>
      </c>
      <c r="W41" s="8">
        <v>100</v>
      </c>
      <c r="X41" s="7">
        <v>0.67920000000000003</v>
      </c>
      <c r="Y41" s="8">
        <v>10</v>
      </c>
      <c r="Z41" s="9">
        <f t="shared" si="1"/>
        <v>0.65917333333333328</v>
      </c>
    </row>
    <row r="42" spans="1:26" x14ac:dyDescent="0.25">
      <c r="A42" t="s">
        <v>27</v>
      </c>
      <c r="B42" s="3">
        <v>0.69210000000000005</v>
      </c>
      <c r="C42" s="1">
        <v>30</v>
      </c>
      <c r="D42" s="7">
        <v>0.73451999999999995</v>
      </c>
      <c r="E42" s="8">
        <v>100</v>
      </c>
      <c r="F42" s="7">
        <v>0.57689000000000001</v>
      </c>
      <c r="G42" s="8">
        <v>100</v>
      </c>
      <c r="H42" s="7">
        <v>0.56906000000000001</v>
      </c>
      <c r="I42" s="8">
        <v>14</v>
      </c>
      <c r="J42" s="7">
        <v>0.73823000000000005</v>
      </c>
      <c r="K42" s="8">
        <v>79</v>
      </c>
      <c r="L42" s="7">
        <v>0.69359000000000004</v>
      </c>
      <c r="M42" s="8">
        <v>98</v>
      </c>
      <c r="N42" s="7">
        <v>0.82977999999999996</v>
      </c>
      <c r="O42" s="8">
        <v>82</v>
      </c>
      <c r="P42" s="7">
        <v>0.55315000000000003</v>
      </c>
      <c r="Q42" s="8">
        <v>16</v>
      </c>
      <c r="R42" s="7">
        <v>0.57003999999999999</v>
      </c>
      <c r="S42" s="8">
        <v>98</v>
      </c>
      <c r="T42" s="7">
        <v>0.47960000000000003</v>
      </c>
      <c r="U42" s="8">
        <v>5</v>
      </c>
      <c r="V42" s="7">
        <v>0.75258000000000003</v>
      </c>
      <c r="W42" s="8">
        <v>100</v>
      </c>
      <c r="X42" s="7">
        <v>0.71220000000000006</v>
      </c>
      <c r="Y42" s="8">
        <v>13</v>
      </c>
      <c r="Z42" s="9">
        <f t="shared" si="1"/>
        <v>0.65847833333333339</v>
      </c>
    </row>
    <row r="43" spans="1:26" x14ac:dyDescent="0.25">
      <c r="A43" t="s">
        <v>28</v>
      </c>
      <c r="B43" s="3">
        <v>0.69328999999999996</v>
      </c>
      <c r="C43" s="1">
        <v>5</v>
      </c>
      <c r="D43" s="7">
        <v>0.72668999999999995</v>
      </c>
      <c r="E43" s="8">
        <v>98</v>
      </c>
      <c r="F43" s="7">
        <v>0.62114999999999998</v>
      </c>
      <c r="G43" s="8">
        <v>100</v>
      </c>
      <c r="H43" s="7">
        <v>0.60592000000000001</v>
      </c>
      <c r="I43" s="8">
        <v>82</v>
      </c>
      <c r="J43" s="7">
        <v>0.74970999999999999</v>
      </c>
      <c r="K43" s="8">
        <v>58</v>
      </c>
      <c r="L43" s="7">
        <v>0.60536000000000001</v>
      </c>
      <c r="M43" s="8">
        <v>7</v>
      </c>
      <c r="N43" s="7">
        <v>0.73063999999999996</v>
      </c>
      <c r="O43" s="8">
        <v>100</v>
      </c>
      <c r="P43" s="7">
        <v>0.52607999999999999</v>
      </c>
      <c r="Q43" s="8">
        <v>3</v>
      </c>
      <c r="R43" s="7">
        <v>0.63636999999999999</v>
      </c>
      <c r="S43" s="8">
        <v>100</v>
      </c>
      <c r="T43" s="7">
        <v>0.51910000000000001</v>
      </c>
      <c r="U43" s="8">
        <v>47</v>
      </c>
      <c r="V43" s="7">
        <v>0.75341999999999998</v>
      </c>
      <c r="W43" s="8">
        <v>100</v>
      </c>
      <c r="X43" s="7">
        <v>0.67464000000000002</v>
      </c>
      <c r="Y43" s="8">
        <v>10</v>
      </c>
      <c r="Z43" s="9">
        <f t="shared" si="1"/>
        <v>0.65353083333333339</v>
      </c>
    </row>
    <row r="44" spans="1:26" x14ac:dyDescent="0.25">
      <c r="A44" t="s">
        <v>29</v>
      </c>
      <c r="B44" s="3">
        <v>0.62390000000000001</v>
      </c>
      <c r="C44" s="1">
        <v>4</v>
      </c>
      <c r="D44" s="7">
        <v>0.74175999999999997</v>
      </c>
      <c r="E44" s="8">
        <v>98</v>
      </c>
      <c r="F44" s="7">
        <v>0.55735999999999997</v>
      </c>
      <c r="G44" s="8">
        <v>100</v>
      </c>
      <c r="H44" s="7">
        <v>0.75566999999999995</v>
      </c>
      <c r="I44" s="8">
        <v>100</v>
      </c>
      <c r="J44" s="7">
        <v>0.70952999999999999</v>
      </c>
      <c r="K44" s="8">
        <v>59</v>
      </c>
      <c r="L44" s="7">
        <v>0.73389000000000004</v>
      </c>
      <c r="M44" s="8">
        <v>24</v>
      </c>
      <c r="N44" s="7">
        <v>0.73389000000000004</v>
      </c>
      <c r="O44" s="8">
        <v>24</v>
      </c>
      <c r="P44" s="7">
        <v>0.66993000000000003</v>
      </c>
      <c r="Q44" s="8">
        <v>15</v>
      </c>
      <c r="R44" s="7">
        <v>0.76080999999999999</v>
      </c>
      <c r="S44" s="8">
        <v>99</v>
      </c>
      <c r="T44" s="7">
        <v>0.43720999999999999</v>
      </c>
      <c r="U44" s="8">
        <v>3</v>
      </c>
      <c r="V44" s="7">
        <v>0.76219000000000003</v>
      </c>
      <c r="W44" s="8">
        <v>97</v>
      </c>
      <c r="X44" s="7">
        <v>0.55432999999999999</v>
      </c>
      <c r="Y44" s="8">
        <v>6</v>
      </c>
      <c r="Z44" s="9">
        <f t="shared" si="1"/>
        <v>0.67003916666666674</v>
      </c>
    </row>
    <row r="45" spans="1:26" x14ac:dyDescent="0.25">
      <c r="A45" t="s">
        <v>30</v>
      </c>
      <c r="B45" s="3">
        <v>0.67810000000000004</v>
      </c>
      <c r="C45" s="1">
        <v>39</v>
      </c>
      <c r="D45" s="7">
        <v>0.66100999999999999</v>
      </c>
      <c r="E45" s="8">
        <v>21</v>
      </c>
      <c r="F45" s="7">
        <v>0.54735999999999996</v>
      </c>
      <c r="G45" s="8">
        <v>22</v>
      </c>
      <c r="H45" s="7">
        <v>0.55693999999999999</v>
      </c>
      <c r="I45" s="8">
        <v>100</v>
      </c>
      <c r="J45" s="7">
        <v>0.71182999999999996</v>
      </c>
      <c r="K45" s="8">
        <v>79</v>
      </c>
      <c r="L45" s="7">
        <v>0.57774999999999999</v>
      </c>
      <c r="M45" s="8">
        <v>35</v>
      </c>
      <c r="N45" s="7">
        <v>0.69506999999999997</v>
      </c>
      <c r="O45" s="8">
        <v>91</v>
      </c>
      <c r="P45" s="7">
        <v>0.58672999999999997</v>
      </c>
      <c r="Q45" s="8">
        <v>28</v>
      </c>
      <c r="R45" s="7">
        <v>0.55620999999999998</v>
      </c>
      <c r="S45" s="8">
        <v>2</v>
      </c>
      <c r="T45" s="7">
        <v>0.47666999999999998</v>
      </c>
      <c r="U45" s="8">
        <v>100</v>
      </c>
      <c r="V45" s="7">
        <v>0.69130000000000003</v>
      </c>
      <c r="W45" s="8">
        <v>99</v>
      </c>
      <c r="X45" s="7">
        <v>0.71323999999999999</v>
      </c>
      <c r="Y45" s="8">
        <v>33</v>
      </c>
      <c r="Z45" s="9">
        <f t="shared" si="1"/>
        <v>0.62101750000000011</v>
      </c>
    </row>
    <row r="46" spans="1:26" x14ac:dyDescent="0.25">
      <c r="A46" t="s">
        <v>31</v>
      </c>
      <c r="B46" s="3">
        <v>0.65934000000000004</v>
      </c>
      <c r="C46" s="1">
        <v>8</v>
      </c>
      <c r="D46" s="7">
        <v>0.72285999999999995</v>
      </c>
      <c r="E46" s="8">
        <v>67</v>
      </c>
      <c r="F46" s="7">
        <v>0.67706999999999995</v>
      </c>
      <c r="G46" s="8">
        <v>100</v>
      </c>
      <c r="H46" s="7">
        <v>0.72055999999999998</v>
      </c>
      <c r="I46" s="8">
        <v>83</v>
      </c>
      <c r="J46" s="7">
        <v>0.82892999999999994</v>
      </c>
      <c r="K46" s="8">
        <v>46</v>
      </c>
      <c r="L46" s="7">
        <v>0.68494999999999995</v>
      </c>
      <c r="M46" s="8">
        <v>100</v>
      </c>
      <c r="N46" s="7">
        <v>0.83023999999999998</v>
      </c>
      <c r="O46" s="8">
        <v>42</v>
      </c>
      <c r="P46" s="7">
        <v>0.60218000000000005</v>
      </c>
      <c r="Q46" s="8">
        <v>6</v>
      </c>
      <c r="R46" s="7">
        <v>0.72887999999999997</v>
      </c>
      <c r="S46" s="8">
        <v>100</v>
      </c>
      <c r="T46" s="7">
        <v>0.53641000000000005</v>
      </c>
      <c r="U46" s="8">
        <v>100</v>
      </c>
      <c r="V46" s="7">
        <v>0.89549999999999996</v>
      </c>
      <c r="W46" s="8">
        <v>100</v>
      </c>
      <c r="X46" s="7">
        <v>0.61265999999999998</v>
      </c>
      <c r="Y46" s="8">
        <v>4</v>
      </c>
      <c r="Z46" s="9">
        <f t="shared" si="1"/>
        <v>0.70829833333333336</v>
      </c>
    </row>
    <row r="47" spans="1:26" x14ac:dyDescent="0.25">
      <c r="A47" t="s">
        <v>32</v>
      </c>
      <c r="B47" s="3">
        <v>0.66456000000000004</v>
      </c>
      <c r="C47" s="1">
        <v>47</v>
      </c>
      <c r="D47" s="7">
        <v>0.73153999999999997</v>
      </c>
      <c r="E47" s="8">
        <v>91</v>
      </c>
      <c r="F47" s="7">
        <v>0.59836999999999996</v>
      </c>
      <c r="G47" s="8">
        <v>100</v>
      </c>
      <c r="H47" s="7">
        <v>0.55967</v>
      </c>
      <c r="I47" s="8">
        <v>15</v>
      </c>
      <c r="J47" s="7">
        <v>0.60275999999999996</v>
      </c>
      <c r="K47" s="8">
        <v>55</v>
      </c>
      <c r="L47" s="7">
        <v>0.72963</v>
      </c>
      <c r="M47" s="8">
        <v>98</v>
      </c>
      <c r="N47" s="7">
        <v>0.76795999999999998</v>
      </c>
      <c r="O47" s="8">
        <v>80</v>
      </c>
      <c r="P47" s="7">
        <v>0.58389999999999997</v>
      </c>
      <c r="Q47" s="8">
        <v>10</v>
      </c>
      <c r="R47" s="7">
        <v>0.61728000000000005</v>
      </c>
      <c r="S47" s="8">
        <v>92</v>
      </c>
      <c r="T47" s="7">
        <v>0.47381000000000001</v>
      </c>
      <c r="U47" s="8">
        <v>3</v>
      </c>
      <c r="V47" s="7">
        <v>0.78922999999999999</v>
      </c>
      <c r="W47" s="8">
        <v>100</v>
      </c>
      <c r="X47" s="7">
        <v>0.63207999999999998</v>
      </c>
      <c r="Y47" s="8">
        <v>7</v>
      </c>
      <c r="Z47" s="9">
        <f t="shared" si="1"/>
        <v>0.6458991666666668</v>
      </c>
    </row>
    <row r="48" spans="1:26" x14ac:dyDescent="0.25">
      <c r="A48" t="s">
        <v>16</v>
      </c>
      <c r="B48" s="3">
        <v>0.69210000000000005</v>
      </c>
      <c r="C48" s="1">
        <v>30</v>
      </c>
      <c r="D48" s="7">
        <v>0.73385</v>
      </c>
      <c r="E48" s="8">
        <v>39</v>
      </c>
      <c r="F48" s="7">
        <v>0.56827000000000005</v>
      </c>
      <c r="G48" s="8">
        <v>20</v>
      </c>
      <c r="H48" s="7">
        <v>0.71682999999999997</v>
      </c>
      <c r="I48" s="8">
        <v>100</v>
      </c>
      <c r="J48" s="7">
        <v>0.82720000000000005</v>
      </c>
      <c r="K48" s="8">
        <v>78</v>
      </c>
      <c r="L48" s="7">
        <v>0.59884000000000004</v>
      </c>
      <c r="M48" s="8">
        <v>10</v>
      </c>
      <c r="N48" s="7">
        <v>0.77017000000000002</v>
      </c>
      <c r="O48" s="8">
        <v>71</v>
      </c>
      <c r="P48" s="7">
        <v>0.64966000000000002</v>
      </c>
      <c r="Q48" s="8">
        <v>98</v>
      </c>
      <c r="R48" s="7">
        <v>0.70121</v>
      </c>
      <c r="S48" s="8">
        <v>100</v>
      </c>
      <c r="T48" s="7">
        <v>0.49945000000000001</v>
      </c>
      <c r="U48" s="8">
        <v>2</v>
      </c>
      <c r="V48" s="7">
        <v>0.81867000000000001</v>
      </c>
      <c r="W48" s="8">
        <v>100</v>
      </c>
      <c r="X48" s="7">
        <v>0.64829999999999999</v>
      </c>
      <c r="Y48" s="8">
        <v>9</v>
      </c>
      <c r="Z48" s="9">
        <f t="shared" si="1"/>
        <v>0.68537916666666676</v>
      </c>
    </row>
    <row r="50" spans="3:24" x14ac:dyDescent="0.25">
      <c r="F50" s="6"/>
      <c r="G50" s="4"/>
      <c r="H50" s="6"/>
      <c r="L50" s="6"/>
      <c r="M50" s="4"/>
      <c r="N50" s="6"/>
      <c r="R50" s="6"/>
      <c r="S50" s="4"/>
      <c r="T50" s="6"/>
      <c r="U50" s="4"/>
      <c r="V50" s="6"/>
    </row>
    <row r="51" spans="3:24" x14ac:dyDescent="0.25">
      <c r="C51" s="4"/>
      <c r="D51" s="6"/>
      <c r="E51" s="4"/>
      <c r="H51" s="6"/>
      <c r="L51" s="6"/>
      <c r="M51" s="4"/>
      <c r="N51" s="6"/>
      <c r="O51" s="4"/>
      <c r="P51" s="6"/>
      <c r="Q51" s="4"/>
      <c r="R51" s="6"/>
      <c r="S51" s="4"/>
      <c r="T51" s="6"/>
      <c r="U51" s="4"/>
      <c r="V51" s="6"/>
      <c r="W51" s="4"/>
      <c r="X51" s="6"/>
    </row>
    <row r="52" spans="3:24" x14ac:dyDescent="0.25">
      <c r="C52" s="4"/>
      <c r="D52" s="6"/>
      <c r="E52" s="4"/>
      <c r="G52" s="4"/>
      <c r="H52" s="6"/>
      <c r="I52" s="4"/>
      <c r="J52" s="6"/>
      <c r="K52" s="4"/>
      <c r="L52" s="6"/>
      <c r="M52" s="4"/>
      <c r="N52" s="6"/>
      <c r="O52" s="4"/>
      <c r="P52" s="6"/>
      <c r="Q52" s="4"/>
      <c r="R52" s="6"/>
      <c r="S52" s="4"/>
      <c r="T52" s="6"/>
      <c r="U52" s="4"/>
      <c r="V52" s="6"/>
      <c r="W52" s="4"/>
      <c r="X52" s="6"/>
    </row>
    <row r="53" spans="3:24" x14ac:dyDescent="0.25">
      <c r="C53" s="4"/>
      <c r="D53" s="6"/>
      <c r="E53" s="4"/>
      <c r="G53" s="4"/>
      <c r="H53" s="6"/>
      <c r="I53" s="4"/>
      <c r="J53" s="6"/>
      <c r="K53" s="4"/>
      <c r="L53" s="6"/>
      <c r="M53" s="4"/>
      <c r="N53" s="6"/>
      <c r="O53" s="4"/>
      <c r="P53" s="6"/>
      <c r="Q53" s="4"/>
      <c r="R53" s="6"/>
      <c r="S53" s="4"/>
      <c r="T53" s="6"/>
      <c r="U53" s="4"/>
      <c r="V53" s="6"/>
      <c r="W53" s="4"/>
      <c r="X53" s="6"/>
    </row>
    <row r="54" spans="3:24" x14ac:dyDescent="0.25">
      <c r="C54" s="4"/>
      <c r="D54" s="6"/>
      <c r="E54" s="4"/>
      <c r="G54" s="4"/>
      <c r="H54" s="6"/>
      <c r="I54" s="4"/>
      <c r="J54" s="6"/>
      <c r="K54" s="4"/>
      <c r="L54" s="6"/>
      <c r="M54" s="4"/>
      <c r="N54" s="6"/>
      <c r="O54" s="4"/>
      <c r="P54" s="6"/>
      <c r="Q54" s="4"/>
      <c r="R54" s="6"/>
      <c r="S54" s="4"/>
      <c r="T54" s="6"/>
      <c r="U54" s="4"/>
      <c r="V54" s="6"/>
      <c r="W54" s="4"/>
      <c r="X54" s="6"/>
    </row>
    <row r="55" spans="3:24" x14ac:dyDescent="0.25">
      <c r="C55" s="4"/>
      <c r="D55" s="6"/>
      <c r="E55" s="4"/>
      <c r="G55" s="4"/>
      <c r="H55" s="6"/>
      <c r="I55" s="4"/>
      <c r="J55" s="6"/>
      <c r="K55" s="4"/>
      <c r="L55" s="6"/>
      <c r="M55" s="4"/>
      <c r="N55" s="6"/>
      <c r="O55" s="4"/>
      <c r="P55" s="6"/>
      <c r="Q55" s="4"/>
      <c r="R55" s="6"/>
      <c r="S55" s="4"/>
      <c r="T55" s="6"/>
      <c r="U55" s="4"/>
      <c r="V55" s="6"/>
      <c r="W55" s="4"/>
      <c r="X55" s="6"/>
    </row>
    <row r="56" spans="3:24" x14ac:dyDescent="0.25">
      <c r="C56" s="4"/>
      <c r="D56" s="6"/>
      <c r="E56" s="4"/>
      <c r="G56" s="4"/>
      <c r="H56" s="6"/>
      <c r="I56" s="4"/>
      <c r="J56" s="6"/>
      <c r="K56" s="4"/>
      <c r="L56" s="6"/>
      <c r="M56" s="4"/>
      <c r="N56" s="6"/>
      <c r="O56" s="4"/>
      <c r="P56" s="6"/>
      <c r="Q56" s="4"/>
      <c r="R56" s="6"/>
      <c r="S56" s="4"/>
      <c r="T56" s="6"/>
      <c r="U56" s="4"/>
      <c r="V56" s="6"/>
      <c r="W56" s="4"/>
      <c r="X56" s="6"/>
    </row>
    <row r="57" spans="3:24" x14ac:dyDescent="0.25">
      <c r="C57" s="4"/>
      <c r="D57" s="6"/>
      <c r="E57" s="4"/>
      <c r="G57" s="4"/>
      <c r="H57" s="6"/>
      <c r="I57" s="4"/>
      <c r="J57" s="6"/>
      <c r="K57" s="4"/>
      <c r="L57" s="6"/>
      <c r="M57" s="4"/>
      <c r="N57" s="6"/>
      <c r="O57" s="4"/>
      <c r="P57" s="6"/>
      <c r="Q57" s="4"/>
      <c r="R57" s="6"/>
      <c r="S57" s="4"/>
      <c r="T57" s="6"/>
      <c r="U57" s="4"/>
      <c r="V57" s="6"/>
      <c r="W57" s="4"/>
      <c r="X57" s="6"/>
    </row>
    <row r="58" spans="3:24" x14ac:dyDescent="0.25">
      <c r="C58" s="4"/>
      <c r="D58" s="6"/>
      <c r="E58" s="4"/>
      <c r="G58" s="4"/>
      <c r="H58" s="6"/>
      <c r="I58" s="4"/>
      <c r="J58" s="6"/>
      <c r="K58" s="4"/>
      <c r="L58" s="6"/>
      <c r="M58" s="4"/>
      <c r="N58" s="6"/>
      <c r="O58" s="4"/>
      <c r="P58" s="6"/>
      <c r="Q58" s="4"/>
      <c r="R58" s="6"/>
      <c r="S58" s="4"/>
      <c r="T58" s="6"/>
      <c r="U58" s="4"/>
      <c r="V58" s="6"/>
      <c r="W58" s="4"/>
      <c r="X58" s="6"/>
    </row>
    <row r="59" spans="3:24" x14ac:dyDescent="0.25">
      <c r="C59" s="4"/>
      <c r="D59" s="6"/>
      <c r="E59" s="4"/>
      <c r="G59" s="4"/>
      <c r="H59" s="6"/>
      <c r="I59" s="4"/>
      <c r="J59" s="6"/>
      <c r="K59" s="4"/>
      <c r="L59" s="6"/>
      <c r="M59" s="4"/>
      <c r="N59" s="6"/>
      <c r="O59" s="4"/>
      <c r="P59" s="6"/>
      <c r="Q59" s="4"/>
      <c r="R59" s="6"/>
      <c r="S59" s="4"/>
      <c r="T59" s="6"/>
      <c r="U59" s="4"/>
      <c r="V59" s="6"/>
      <c r="W59" s="4"/>
      <c r="X59" s="6"/>
    </row>
    <row r="60" spans="3:24" x14ac:dyDescent="0.25">
      <c r="C60" s="4"/>
      <c r="D60" s="6"/>
      <c r="E60" s="4"/>
      <c r="G60" s="4"/>
      <c r="H60" s="6"/>
      <c r="I60" s="4"/>
      <c r="J60" s="6"/>
      <c r="K60" s="4"/>
      <c r="L60" s="6"/>
      <c r="M60" s="4"/>
      <c r="N60" s="6"/>
      <c r="O60" s="4"/>
      <c r="P60" s="6"/>
      <c r="Q60" s="4"/>
      <c r="R60" s="6"/>
      <c r="S60" s="4"/>
      <c r="T60" s="6"/>
      <c r="U60" s="4"/>
      <c r="V60" s="6"/>
      <c r="W60" s="4"/>
      <c r="X60" s="6"/>
    </row>
    <row r="61" spans="3:24" x14ac:dyDescent="0.25">
      <c r="C61" s="4"/>
      <c r="D61" s="6"/>
      <c r="E61" s="4"/>
      <c r="G61" s="4"/>
      <c r="H61" s="6"/>
      <c r="I61" s="4"/>
      <c r="J61" s="6"/>
      <c r="K61" s="4"/>
      <c r="L61" s="6"/>
      <c r="M61" s="4"/>
      <c r="N61" s="6"/>
      <c r="O61" s="4"/>
      <c r="P61" s="6"/>
      <c r="Q61" s="4"/>
      <c r="R61" s="6"/>
      <c r="S61" s="4"/>
      <c r="T61" s="6"/>
      <c r="U61" s="4"/>
      <c r="V61" s="6"/>
      <c r="W61" s="4"/>
      <c r="X61" s="6"/>
    </row>
    <row r="62" spans="3:24" x14ac:dyDescent="0.25">
      <c r="C62" s="4"/>
      <c r="D62" s="6"/>
      <c r="E62" s="4"/>
      <c r="G62" s="4"/>
      <c r="H62" s="6"/>
      <c r="I62" s="4"/>
      <c r="J62" s="6"/>
      <c r="K62" s="4"/>
      <c r="L62" s="6"/>
      <c r="M62" s="4"/>
      <c r="N62" s="6"/>
      <c r="O62" s="4"/>
      <c r="P62" s="6"/>
      <c r="Q62" s="4"/>
      <c r="U62" s="4"/>
      <c r="V62" s="6"/>
      <c r="W62" s="4"/>
      <c r="X62" s="6"/>
    </row>
    <row r="63" spans="3:24" x14ac:dyDescent="0.25">
      <c r="G63" s="4"/>
      <c r="H63" s="6"/>
      <c r="I63" s="4"/>
      <c r="J63" s="6"/>
      <c r="K63" s="4"/>
      <c r="L63" s="6"/>
      <c r="M63" s="4"/>
      <c r="N63" s="6"/>
      <c r="O6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8FA94-2A87-4578-AD9C-66C74979746A}">
  <dimension ref="A1:Q35"/>
  <sheetViews>
    <sheetView tabSelected="1" workbookViewId="0">
      <selection activeCell="A2" sqref="A2"/>
    </sheetView>
  </sheetViews>
  <sheetFormatPr defaultColWidth="12.85546875" defaultRowHeight="15" x14ac:dyDescent="0.25"/>
  <cols>
    <col min="1" max="1" width="14.140625" customWidth="1"/>
  </cols>
  <sheetData>
    <row r="1" spans="1:14" x14ac:dyDescent="0.25"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</row>
    <row r="2" spans="1:14" x14ac:dyDescent="0.25">
      <c r="A2" t="s">
        <v>46</v>
      </c>
    </row>
    <row r="3" spans="1:14" x14ac:dyDescent="0.25">
      <c r="A3" t="s">
        <v>17</v>
      </c>
      <c r="B3" s="5">
        <v>0.97320543890764</v>
      </c>
      <c r="C3" s="5">
        <v>0.92527587677331102</v>
      </c>
      <c r="D3" s="5">
        <v>0.98326486831595705</v>
      </c>
      <c r="E3" s="5">
        <v>0.98370100206599898</v>
      </c>
      <c r="F3" s="5">
        <v>0.96415379576362403</v>
      </c>
      <c r="G3" s="5">
        <v>0.97217869156929504</v>
      </c>
      <c r="H3" s="5">
        <v>0.92650233505890101</v>
      </c>
      <c r="I3" s="5">
        <v>0.94420602044260205</v>
      </c>
      <c r="J3" s="5">
        <v>0.97872280541794099</v>
      </c>
      <c r="K3" s="5">
        <v>0.74474435371290104</v>
      </c>
      <c r="L3" s="5">
        <v>0.974404362939151</v>
      </c>
      <c r="M3" s="5">
        <v>0.96226330284766204</v>
      </c>
      <c r="N3" s="5">
        <f>AVERAGE(B3:M3)</f>
        <v>0.94438523781791528</v>
      </c>
    </row>
    <row r="4" spans="1:14" x14ac:dyDescent="0.25">
      <c r="A4" t="s">
        <v>19</v>
      </c>
      <c r="B4" s="5">
        <v>0.99122389484155904</v>
      </c>
      <c r="C4" s="5">
        <v>0.91138760229863902</v>
      </c>
      <c r="D4" s="5">
        <v>0.98233139677596004</v>
      </c>
      <c r="E4" s="5">
        <v>0.983701002065548</v>
      </c>
      <c r="F4" s="5">
        <v>0.96415379568635895</v>
      </c>
      <c r="G4" s="5">
        <v>0.97217869156698999</v>
      </c>
      <c r="H4" s="5">
        <v>0.91745587753102498</v>
      </c>
      <c r="I4" s="5">
        <v>0.97804832591680702</v>
      </c>
      <c r="J4" s="5">
        <v>0.97872280541661305</v>
      </c>
      <c r="K4" s="5">
        <v>0.80922531192412295</v>
      </c>
      <c r="L4" s="5">
        <v>0.97263597690055603</v>
      </c>
      <c r="M4" s="5">
        <v>0.91674277446590802</v>
      </c>
      <c r="N4" s="5">
        <f t="shared" ref="N4:N23" si="0">AVERAGE(B4:M4)</f>
        <v>0.94815062128250727</v>
      </c>
    </row>
    <row r="5" spans="1:14" x14ac:dyDescent="0.25">
      <c r="A5" t="s">
        <v>18</v>
      </c>
      <c r="B5" s="5">
        <v>0.98762899341924204</v>
      </c>
      <c r="C5" s="5">
        <v>0.90172439838426299</v>
      </c>
      <c r="D5" s="5">
        <v>0.94255166794796796</v>
      </c>
      <c r="E5" s="5">
        <v>0.93936431792700203</v>
      </c>
      <c r="F5" s="5">
        <v>0.89604511683298005</v>
      </c>
      <c r="G5" s="5">
        <v>0.93408777258850595</v>
      </c>
      <c r="H5" s="5">
        <v>0.89743184310450297</v>
      </c>
      <c r="I5" s="5">
        <v>0.96464510175930895</v>
      </c>
      <c r="J5" s="5">
        <v>0.92283905233255503</v>
      </c>
      <c r="K5" s="5">
        <v>0.83675097702580203</v>
      </c>
      <c r="L5" s="5">
        <v>0.93337014640782801</v>
      </c>
      <c r="M5" s="5">
        <v>0.97203157966125697</v>
      </c>
      <c r="N5" s="5">
        <f t="shared" si="0"/>
        <v>0.92737258061593464</v>
      </c>
    </row>
    <row r="6" spans="1:14" x14ac:dyDescent="0.25">
      <c r="A6" t="s">
        <v>20</v>
      </c>
      <c r="B6" s="5">
        <v>8.2297329247949996E-2</v>
      </c>
      <c r="C6" s="5">
        <v>0.231249228183735</v>
      </c>
      <c r="D6" s="5">
        <v>9.0677540780899499E-2</v>
      </c>
      <c r="E6" s="5">
        <v>0.30221989480517197</v>
      </c>
      <c r="F6" s="5">
        <v>0.41003438578738599</v>
      </c>
      <c r="G6" s="5">
        <v>9.9184565619813203E-2</v>
      </c>
      <c r="H6" s="5">
        <v>5.66332412060436E-2</v>
      </c>
      <c r="I6" s="5">
        <v>0.481585289676912</v>
      </c>
      <c r="J6" s="5">
        <v>0.16621741509309099</v>
      </c>
      <c r="K6" s="5">
        <v>0.12286296070167201</v>
      </c>
      <c r="L6" s="5">
        <v>0.28366423239655703</v>
      </c>
      <c r="M6" s="5">
        <v>0.100271719448231</v>
      </c>
      <c r="N6" s="5">
        <f t="shared" si="0"/>
        <v>0.20224148357895519</v>
      </c>
    </row>
    <row r="7" spans="1:14" x14ac:dyDescent="0.25">
      <c r="A7" t="s">
        <v>10</v>
      </c>
      <c r="B7" s="5">
        <v>0.98967295848364201</v>
      </c>
      <c r="C7" s="5">
        <v>0.92005978052230597</v>
      </c>
      <c r="D7" s="5">
        <v>0.97229882265552803</v>
      </c>
      <c r="E7" s="5">
        <v>0.97154659781392105</v>
      </c>
      <c r="F7" s="5">
        <v>0.93918923337511095</v>
      </c>
      <c r="G7" s="5">
        <v>0.96184419273452104</v>
      </c>
      <c r="H7" s="5">
        <v>0.921645517371387</v>
      </c>
      <c r="I7" s="5">
        <v>0.96063416254891398</v>
      </c>
      <c r="J7" s="5">
        <v>0.962714537248053</v>
      </c>
      <c r="K7" s="5">
        <v>0.78351640620845997</v>
      </c>
      <c r="L7" s="5">
        <v>0.96420979684008401</v>
      </c>
      <c r="M7" s="5">
        <v>0.97539830468267397</v>
      </c>
      <c r="N7" s="5">
        <f t="shared" si="0"/>
        <v>0.94356085920705002</v>
      </c>
    </row>
    <row r="8" spans="1:14" x14ac:dyDescent="0.25">
      <c r="A8" t="s">
        <v>12</v>
      </c>
      <c r="B8" s="5">
        <v>0.97476190981564204</v>
      </c>
      <c r="C8" s="5">
        <v>0.99486321538834999</v>
      </c>
      <c r="D8" s="5">
        <v>0.99444461779196802</v>
      </c>
      <c r="E8" s="5">
        <v>0.993107115572747</v>
      </c>
      <c r="F8" s="5">
        <v>0.96446130234369398</v>
      </c>
      <c r="G8" s="5">
        <v>0.98111608844262199</v>
      </c>
      <c r="H8" s="5">
        <v>0.99623806459551301</v>
      </c>
      <c r="I8" s="5">
        <v>0.96923489610785696</v>
      </c>
      <c r="J8" s="5">
        <v>0.99063273127531704</v>
      </c>
      <c r="K8" s="5">
        <v>0.83938569206122704</v>
      </c>
      <c r="L8" s="5">
        <v>0.99265527882924198</v>
      </c>
      <c r="M8" s="5">
        <v>0.97952052736620698</v>
      </c>
      <c r="N8" s="5">
        <f t="shared" si="0"/>
        <v>0.97253511996586539</v>
      </c>
    </row>
    <row r="9" spans="1:14" x14ac:dyDescent="0.25">
      <c r="A9" t="s">
        <v>47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</row>
    <row r="10" spans="1:14" x14ac:dyDescent="0.25">
      <c r="A10" t="s">
        <v>1</v>
      </c>
      <c r="B10" s="5">
        <v>0.768080982642806</v>
      </c>
      <c r="C10" s="5">
        <v>0.99075905339644998</v>
      </c>
      <c r="D10" s="5">
        <v>0.978546796594992</v>
      </c>
      <c r="E10" s="5">
        <v>0.94444140235033203</v>
      </c>
      <c r="F10" s="5">
        <v>0.87869879355463798</v>
      </c>
      <c r="G10" s="5">
        <v>0.97614560504815695</v>
      </c>
      <c r="H10" s="5">
        <v>0.79857327428187597</v>
      </c>
      <c r="I10" s="5">
        <v>0.918387593201337</v>
      </c>
      <c r="J10" s="5">
        <v>0.97616269750237705</v>
      </c>
      <c r="K10" s="5">
        <v>0.92802838425852996</v>
      </c>
      <c r="L10" s="5">
        <v>0.97744448861668498</v>
      </c>
      <c r="M10" s="5">
        <v>0.64130833472345605</v>
      </c>
      <c r="N10" s="5">
        <f t="shared" si="0"/>
        <v>0.89804811718096966</v>
      </c>
    </row>
    <row r="11" spans="1:14" x14ac:dyDescent="0.25">
      <c r="A11" t="s">
        <v>2</v>
      </c>
      <c r="B11" s="5">
        <v>0.85515309111754101</v>
      </c>
      <c r="C11" s="5">
        <v>0.99118238166689898</v>
      </c>
      <c r="D11" s="5">
        <v>0.97060307371559196</v>
      </c>
      <c r="E11" s="5">
        <v>0.99392349176792505</v>
      </c>
      <c r="F11" s="5">
        <v>0.89403116454697495</v>
      </c>
      <c r="G11" s="5">
        <v>0.98090694088714403</v>
      </c>
      <c r="H11" s="5">
        <v>0.79826452147959803</v>
      </c>
      <c r="I11" s="5">
        <v>0.85413926394221795</v>
      </c>
      <c r="J11" s="5">
        <v>0.94446383055236305</v>
      </c>
      <c r="K11" s="5">
        <v>0.92237576722776304</v>
      </c>
      <c r="L11" s="5">
        <v>0.97875841188345403</v>
      </c>
      <c r="M11" s="5">
        <v>0.67359184588532905</v>
      </c>
      <c r="N11" s="5">
        <f t="shared" si="0"/>
        <v>0.90478281538940031</v>
      </c>
    </row>
    <row r="12" spans="1:14" x14ac:dyDescent="0.25">
      <c r="A12" t="s">
        <v>3</v>
      </c>
      <c r="B12" s="5">
        <v>0.85925869037310598</v>
      </c>
      <c r="C12" s="5">
        <v>0.97450573199846902</v>
      </c>
      <c r="D12" s="5">
        <v>0.992276222851736</v>
      </c>
      <c r="E12" s="5">
        <v>0.99392356346537003</v>
      </c>
      <c r="F12" s="5">
        <v>0.93614602446745399</v>
      </c>
      <c r="G12" s="5">
        <v>0.98090719793651104</v>
      </c>
      <c r="H12" s="5">
        <v>0.93533672668489598</v>
      </c>
      <c r="I12" s="5">
        <v>0.85413787065956803</v>
      </c>
      <c r="J12" s="5">
        <v>0.99698532086722302</v>
      </c>
      <c r="K12" s="5">
        <v>0.922242587584436</v>
      </c>
      <c r="L12" s="5">
        <v>0.97875856632701597</v>
      </c>
      <c r="M12" s="5">
        <v>0.72962375572980698</v>
      </c>
      <c r="N12" s="5">
        <f t="shared" si="0"/>
        <v>0.92950852157879937</v>
      </c>
    </row>
    <row r="13" spans="1:14" x14ac:dyDescent="0.25">
      <c r="A13" t="s">
        <v>4</v>
      </c>
      <c r="B13" s="5">
        <v>0.770327958517669</v>
      </c>
      <c r="C13" s="5">
        <v>0.96762586969530096</v>
      </c>
      <c r="D13" s="5">
        <v>0.981382902253503</v>
      </c>
      <c r="E13" s="5">
        <v>0.99397635532503803</v>
      </c>
      <c r="F13" s="5">
        <v>0.96152650731859501</v>
      </c>
      <c r="G13" s="5">
        <v>0.97324022695425505</v>
      </c>
      <c r="H13" s="5">
        <v>0.82466986581887902</v>
      </c>
      <c r="I13" s="5">
        <v>0.94743941597294201</v>
      </c>
      <c r="J13" s="5">
        <v>0.99469339000558699</v>
      </c>
      <c r="K13" s="5">
        <v>0.89259049312599203</v>
      </c>
      <c r="L13" s="5">
        <v>0.97075489351227395</v>
      </c>
      <c r="M13" s="5">
        <v>0.86297156982798895</v>
      </c>
      <c r="N13" s="5">
        <f t="shared" si="0"/>
        <v>0.92843328736066866</v>
      </c>
    </row>
    <row r="14" spans="1:14" x14ac:dyDescent="0.25">
      <c r="A14" t="s">
        <v>5</v>
      </c>
      <c r="B14" s="5">
        <v>0.86765602068329395</v>
      </c>
      <c r="C14" s="5">
        <v>0.9872116244961</v>
      </c>
      <c r="D14" s="5">
        <v>0.99359680185878996</v>
      </c>
      <c r="E14" s="5">
        <v>0.99234069514415901</v>
      </c>
      <c r="F14" s="5">
        <v>0.952926037140856</v>
      </c>
      <c r="G14" s="5">
        <v>0.98949942245521605</v>
      </c>
      <c r="H14" s="5">
        <v>0.97124518429368401</v>
      </c>
      <c r="I14" s="5">
        <v>0.90158040826489005</v>
      </c>
      <c r="J14" s="5">
        <v>0.98910254387406504</v>
      </c>
      <c r="K14" s="5">
        <v>0.93435983926758603</v>
      </c>
      <c r="L14" s="5">
        <v>0.98965760954155202</v>
      </c>
      <c r="M14" s="5">
        <v>0.61379766193602103</v>
      </c>
      <c r="N14" s="5">
        <f t="shared" si="0"/>
        <v>0.93191448741301786</v>
      </c>
    </row>
    <row r="15" spans="1:14" x14ac:dyDescent="0.25">
      <c r="A15" t="s">
        <v>6</v>
      </c>
      <c r="B15" s="5">
        <v>0.83366013182411103</v>
      </c>
      <c r="C15" s="5">
        <v>0.99201322896432997</v>
      </c>
      <c r="D15" s="5">
        <v>0.99462770949527601</v>
      </c>
      <c r="E15" s="5">
        <v>0.99344893499778997</v>
      </c>
      <c r="F15" s="5">
        <v>0.93757892493999795</v>
      </c>
      <c r="G15" s="5">
        <v>0.986396402105434</v>
      </c>
      <c r="H15" s="5">
        <v>0.92845350685140104</v>
      </c>
      <c r="I15" s="5">
        <v>0.88888068428459099</v>
      </c>
      <c r="J15" s="5">
        <v>0.99358622604874802</v>
      </c>
      <c r="K15" s="5">
        <v>0.92525639810714999</v>
      </c>
      <c r="L15" s="5">
        <v>0.98471658450959598</v>
      </c>
      <c r="M15" s="5">
        <v>0.57905206545412702</v>
      </c>
      <c r="N15" s="5">
        <f t="shared" si="0"/>
        <v>0.91980589979854599</v>
      </c>
    </row>
    <row r="16" spans="1:14" x14ac:dyDescent="0.25">
      <c r="A16" t="s">
        <v>7</v>
      </c>
      <c r="B16" s="5">
        <v>0.56430345288311001</v>
      </c>
      <c r="C16" s="5">
        <v>0.89740776020829005</v>
      </c>
      <c r="D16" s="5">
        <v>0.96292335749538005</v>
      </c>
      <c r="E16" s="5">
        <v>0.99216902816258201</v>
      </c>
      <c r="F16" s="5">
        <v>0.97839713523954897</v>
      </c>
      <c r="G16" s="5">
        <v>0.93777801632138902</v>
      </c>
      <c r="H16" s="5">
        <v>0.58186284937229404</v>
      </c>
      <c r="I16" s="5">
        <v>0.78226630669058805</v>
      </c>
      <c r="J16" s="5">
        <v>0.97659029036754197</v>
      </c>
      <c r="K16" s="5">
        <v>0.87455122476296598</v>
      </c>
      <c r="L16" s="5">
        <v>0.92071011828220695</v>
      </c>
      <c r="M16" s="5">
        <v>0.466244740490876</v>
      </c>
      <c r="N16" s="5">
        <f t="shared" si="0"/>
        <v>0.82793369002306461</v>
      </c>
    </row>
    <row r="17" spans="1:14" x14ac:dyDescent="0.25">
      <c r="A17" t="s">
        <v>23</v>
      </c>
      <c r="B17" s="5">
        <v>0.85900971636301504</v>
      </c>
      <c r="C17" s="5">
        <v>0.983284927176304</v>
      </c>
      <c r="D17" s="5">
        <v>0.93948981445027302</v>
      </c>
      <c r="E17" s="5">
        <v>0.87788340961079903</v>
      </c>
      <c r="F17" s="5">
        <v>0.80244622797259302</v>
      </c>
      <c r="G17" s="5">
        <v>0.95386086476714305</v>
      </c>
      <c r="H17" s="5">
        <v>0.89307865769304495</v>
      </c>
      <c r="I17" s="5">
        <v>0.95889534408239896</v>
      </c>
      <c r="J17" s="5">
        <v>0.92658659832019097</v>
      </c>
      <c r="K17" s="5">
        <v>0.93975800381012098</v>
      </c>
      <c r="L17" s="5">
        <v>0.96875308234992996</v>
      </c>
      <c r="M17" s="5">
        <v>0.64812373518331101</v>
      </c>
      <c r="N17" s="5">
        <f t="shared" si="0"/>
        <v>0.89593086514826048</v>
      </c>
    </row>
    <row r="18" spans="1:14" x14ac:dyDescent="0.25">
      <c r="A18" t="s">
        <v>8</v>
      </c>
      <c r="B18" s="5">
        <v>0.84186557037550802</v>
      </c>
      <c r="C18" s="5">
        <v>0.99075905472106895</v>
      </c>
      <c r="D18" s="5">
        <v>0.97854679494972496</v>
      </c>
      <c r="E18" s="5">
        <v>0.94444139807094396</v>
      </c>
      <c r="F18" s="5">
        <v>0.87869878787679401</v>
      </c>
      <c r="G18" s="5">
        <v>0.97614560490703595</v>
      </c>
      <c r="H18" s="5">
        <v>0.954636980116088</v>
      </c>
      <c r="I18" s="5">
        <v>0.91838759855114904</v>
      </c>
      <c r="J18" s="5">
        <v>0.97616269351504803</v>
      </c>
      <c r="K18" s="5">
        <v>0.93467745328572105</v>
      </c>
      <c r="L18" s="5">
        <v>0.97744448907250103</v>
      </c>
      <c r="M18" s="5">
        <v>0.67461359243062302</v>
      </c>
      <c r="N18" s="5">
        <f t="shared" si="0"/>
        <v>0.92053166815601717</v>
      </c>
    </row>
    <row r="19" spans="1:14" x14ac:dyDescent="0.25">
      <c r="A19" t="s">
        <v>24</v>
      </c>
      <c r="B19" s="5">
        <v>3.2667534781411899E-2</v>
      </c>
      <c r="C19" s="5">
        <v>9.5744062497658697E-2</v>
      </c>
      <c r="D19" s="5">
        <v>2.1817899070589099E-2</v>
      </c>
      <c r="E19" s="5">
        <v>8.9610823526047503E-2</v>
      </c>
      <c r="F19" s="5">
        <v>0.106521583470603</v>
      </c>
      <c r="G19" s="5">
        <v>5.0510366572714897E-2</v>
      </c>
      <c r="H19" s="5">
        <v>8.1967774050797401E-2</v>
      </c>
      <c r="I19" s="5">
        <v>0.27074580195769199</v>
      </c>
      <c r="J19" s="5">
        <v>6.06989973873409E-2</v>
      </c>
      <c r="K19" s="5">
        <v>4.77104317797458E-2</v>
      </c>
      <c r="L19" s="5">
        <v>0.20978594123946401</v>
      </c>
      <c r="M19" s="5">
        <v>0.41284126192870702</v>
      </c>
      <c r="N19" s="5">
        <f t="shared" si="0"/>
        <v>0.12338520652189768</v>
      </c>
    </row>
    <row r="20" spans="1:14" x14ac:dyDescent="0.25">
      <c r="A20" t="s">
        <v>9</v>
      </c>
      <c r="B20" s="5">
        <v>0.64820494251828698</v>
      </c>
      <c r="C20" s="5">
        <v>0.93250450870912105</v>
      </c>
      <c r="D20" s="5">
        <v>0.970852640117702</v>
      </c>
      <c r="E20" s="5">
        <v>0.99306195183686496</v>
      </c>
      <c r="F20" s="5">
        <v>0.97331978377286699</v>
      </c>
      <c r="G20" s="5">
        <v>0.96035625158326399</v>
      </c>
      <c r="H20" s="5">
        <v>0.69497731757561898</v>
      </c>
      <c r="I20" s="5">
        <v>0.84592001313989695</v>
      </c>
      <c r="J20" s="5">
        <v>0.98738547074877503</v>
      </c>
      <c r="K20" s="5">
        <v>0.87673720668912003</v>
      </c>
      <c r="L20" s="5">
        <v>0.94807698633461002</v>
      </c>
      <c r="M20" s="5">
        <v>0.52365619847621503</v>
      </c>
      <c r="N20" s="5">
        <f t="shared" si="0"/>
        <v>0.86292110595852856</v>
      </c>
    </row>
    <row r="21" spans="1:14" x14ac:dyDescent="0.25">
      <c r="A21" t="s">
        <v>10</v>
      </c>
      <c r="B21" s="5">
        <v>0.51338196831958205</v>
      </c>
      <c r="C21" s="5">
        <v>0.81559117802613901</v>
      </c>
      <c r="D21" s="5">
        <v>0.90286341120497104</v>
      </c>
      <c r="E21" s="5">
        <v>0.94625697582332002</v>
      </c>
      <c r="F21" s="5">
        <v>0.93754880613555902</v>
      </c>
      <c r="G21" s="5">
        <v>0.87872678961818995</v>
      </c>
      <c r="H21" s="5">
        <v>0.52314808367051702</v>
      </c>
      <c r="I21" s="5">
        <v>0.728525311966292</v>
      </c>
      <c r="J21" s="5">
        <v>0.91066522457049504</v>
      </c>
      <c r="K21" s="5">
        <v>0.83922458452568705</v>
      </c>
      <c r="L21" s="5">
        <v>0.854094285057447</v>
      </c>
      <c r="M21" s="5">
        <v>0.39079356859483</v>
      </c>
      <c r="N21" s="5">
        <f t="shared" si="0"/>
        <v>0.77006834895941922</v>
      </c>
    </row>
    <row r="22" spans="1:14" x14ac:dyDescent="0.25">
      <c r="A22" t="s">
        <v>11</v>
      </c>
      <c r="B22" s="5">
        <v>0.53059090760215</v>
      </c>
      <c r="C22" s="5">
        <v>0.84558609255927897</v>
      </c>
      <c r="D22" s="5">
        <v>0.88017465030665598</v>
      </c>
      <c r="E22" s="5">
        <v>0.94699723406738801</v>
      </c>
      <c r="F22" s="5">
        <v>0.98760888300292804</v>
      </c>
      <c r="G22" s="5">
        <v>0.85660170351283504</v>
      </c>
      <c r="H22" s="5">
        <v>0.59328597294457497</v>
      </c>
      <c r="I22" s="5">
        <v>0.68745745674852698</v>
      </c>
      <c r="J22" s="5">
        <v>0.92673730346741301</v>
      </c>
      <c r="K22" s="5">
        <v>0.77256538336053404</v>
      </c>
      <c r="L22" s="5">
        <v>0.858551133294993</v>
      </c>
      <c r="M22" s="5">
        <v>0.40427588065955899</v>
      </c>
      <c r="N22" s="5">
        <f t="shared" si="0"/>
        <v>0.77420271679390318</v>
      </c>
    </row>
    <row r="23" spans="1:14" x14ac:dyDescent="0.25">
      <c r="A23" t="s">
        <v>12</v>
      </c>
      <c r="B23" s="5">
        <v>0.61613898695444003</v>
      </c>
      <c r="C23" s="5">
        <v>0.938345908552773</v>
      </c>
      <c r="D23" s="5">
        <v>0.97899890159763303</v>
      </c>
      <c r="E23" s="5">
        <v>0.99506878428606205</v>
      </c>
      <c r="F23" s="5">
        <v>0.96930945949455705</v>
      </c>
      <c r="G23" s="5">
        <v>0.957347715289533</v>
      </c>
      <c r="H23" s="5">
        <v>0.63914507461574799</v>
      </c>
      <c r="I23" s="5">
        <v>0.81934145303524497</v>
      </c>
      <c r="J23" s="5">
        <v>0.99197703971809403</v>
      </c>
      <c r="K23" s="5">
        <v>0.89059881188415702</v>
      </c>
      <c r="L23" s="5">
        <v>0.94750802516319499</v>
      </c>
      <c r="M23" s="5">
        <v>0.45157468917347898</v>
      </c>
      <c r="N23" s="5">
        <f t="shared" si="0"/>
        <v>0.84961290414707635</v>
      </c>
    </row>
    <row r="33" spans="17:17" x14ac:dyDescent="0.25">
      <c r="Q33" t="str">
        <f t="shared" ref="Q33:Q35" si="1">RIGHT(A32,38)</f>
        <v/>
      </c>
    </row>
    <row r="34" spans="17:17" x14ac:dyDescent="0.25">
      <c r="Q34" t="str">
        <f t="shared" si="1"/>
        <v/>
      </c>
    </row>
    <row r="35" spans="17:17" x14ac:dyDescent="0.25">
      <c r="Q35" t="str">
        <f t="shared" si="1"/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R^2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2025-04-24T03:44:09Z</dcterms:created>
  <dcterms:modified xsi:type="dcterms:W3CDTF">2025-06-04T21:14:03Z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