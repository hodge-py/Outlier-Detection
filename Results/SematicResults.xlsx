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dg\OneDrive\Documents\Github\Outlier-Detection\Results\"/>
    </mc:Choice>
  </mc:AlternateContent>
  <xr:revisionPtr revIDLastSave="0" documentId="13_ncr:1_{61C5C657-216D-46F1-9EE6-A4092C1E5CFD}" xr6:coauthVersionLast="47" xr6:coauthVersionMax="47" xr10:uidLastSave="{00000000-0000-0000-0000-000000000000}"/>
  <bookViews>
    <workbookView xWindow="-120" yWindow="-120" windowWidth="29040" windowHeight="15720" xr2:uid="{434910EB-563B-4C75-B478-5542AE1CD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1" l="1"/>
  <c r="Z28" i="1"/>
  <c r="Z29" i="1"/>
  <c r="Z30" i="1"/>
  <c r="Z31" i="1"/>
  <c r="Z32" i="1"/>
  <c r="Z33" i="1"/>
  <c r="Z34" i="1"/>
  <c r="Z35" i="1"/>
  <c r="Z36" i="1"/>
  <c r="Z38" i="1"/>
  <c r="Z39" i="1"/>
  <c r="Z40" i="1"/>
  <c r="Z41" i="1"/>
  <c r="Z42" i="1"/>
  <c r="Z26" i="1"/>
  <c r="Z5" i="1"/>
  <c r="Z6" i="1"/>
  <c r="Z7" i="1"/>
  <c r="Z8" i="1"/>
  <c r="Z9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4" i="1"/>
</calcChain>
</file>

<file path=xl/sharedStrings.xml><?xml version="1.0" encoding="utf-8"?>
<sst xmlns="http://schemas.openxmlformats.org/spreadsheetml/2006/main" count="77" uniqueCount="49">
  <si>
    <t>Annthyroid_withoutdupl_norm_07.arff</t>
  </si>
  <si>
    <t>Arrhythmia_withoutdupl_norm_46.arff</t>
  </si>
  <si>
    <t>Cardiotocography_withoutdupl_norm_22.arff</t>
  </si>
  <si>
    <t>HeartDisease_withoutdupl_norm_44.arff</t>
  </si>
  <si>
    <t>Hepatitis_withoutdupl_norm_16.arff</t>
  </si>
  <si>
    <t>InternetAds_withoutdupl_norm_19.arff</t>
  </si>
  <si>
    <t>PageBlocks_withoutdupl_norm_09.arff</t>
  </si>
  <si>
    <t>Parkinson_withoutdupl_norm_75.arff</t>
  </si>
  <si>
    <t>Pima_withoutdupl_norm_35.arff</t>
  </si>
  <si>
    <t>SpamBase_withoutdupl_norm_40.arff</t>
  </si>
  <si>
    <t>Stamps_withoutdupl_norm_09.arff</t>
  </si>
  <si>
    <t>Wilt_withoutdupl_norm_05.arff</t>
  </si>
  <si>
    <t>ROC AUC</t>
  </si>
  <si>
    <t>expon</t>
  </si>
  <si>
    <t>chi2</t>
  </si>
  <si>
    <t>gamma</t>
  </si>
  <si>
    <t>weibull_min</t>
  </si>
  <si>
    <t>lognorm</t>
  </si>
  <si>
    <t>invgauss</t>
  </si>
  <si>
    <t>rayleigh</t>
  </si>
  <si>
    <t>pareto</t>
  </si>
  <si>
    <t>nakagami</t>
  </si>
  <si>
    <t>logistic</t>
  </si>
  <si>
    <t>powerlaw</t>
  </si>
  <si>
    <t>skewnorm</t>
  </si>
  <si>
    <t>k</t>
  </si>
  <si>
    <t>Log Tranform</t>
  </si>
  <si>
    <t>No Tranform</t>
  </si>
  <si>
    <t>ABOD</t>
  </si>
  <si>
    <t>KNN</t>
  </si>
  <si>
    <t>LOF</t>
  </si>
  <si>
    <t>COF</t>
  </si>
  <si>
    <t>norm</t>
  </si>
  <si>
    <t>laplace</t>
  </si>
  <si>
    <t>t</t>
  </si>
  <si>
    <t>cauchy</t>
  </si>
  <si>
    <t>State of Art Manhattan</t>
  </si>
  <si>
    <t>State of Art Eucli.</t>
  </si>
  <si>
    <t>Average</t>
  </si>
  <si>
    <t>wald</t>
  </si>
  <si>
    <t>levy</t>
  </si>
  <si>
    <t>KDE</t>
  </si>
  <si>
    <t>simplified_lof</t>
  </si>
  <si>
    <t>ldof</t>
  </si>
  <si>
    <t>odin</t>
  </si>
  <si>
    <t>kdeos</t>
  </si>
  <si>
    <t>ldf</t>
  </si>
  <si>
    <t>loop</t>
  </si>
  <si>
    <t>inflo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</si>
</sst>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0025-8082-4BC2-A702-278923FF3482}">
  <dimension ref="A1:Z42"/>
  <sheetViews>
    <sheetView tabSelected="1" topLeftCell="A13" workbookViewId="0">
      <selection activeCell="A43" sqref="A43"/>
    </sheetView>
  </sheetViews>
  <sheetFormatPr defaultColWidth="10.5703125" defaultRowHeight="15" x14ac:dyDescent="0.25"/>
  <cols>
    <col min="1" max="1" width="13.5703125" customWidth="1"/>
  </cols>
  <sheetData>
    <row r="1" spans="1:26" x14ac:dyDescent="0.25">
      <c r="B1" s="7" t="s">
        <v>0</v>
      </c>
      <c r="C1" s="7"/>
      <c r="D1" s="7" t="s">
        <v>1</v>
      </c>
      <c r="E1" s="7"/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38</v>
      </c>
    </row>
    <row r="2" spans="1:26" x14ac:dyDescent="0.25">
      <c r="B2" s="1" t="s">
        <v>12</v>
      </c>
      <c r="C2" s="1" t="s">
        <v>25</v>
      </c>
      <c r="D2" s="1" t="s">
        <v>12</v>
      </c>
      <c r="E2" s="1" t="s">
        <v>25</v>
      </c>
      <c r="F2" s="1" t="s">
        <v>12</v>
      </c>
      <c r="G2" s="1" t="s">
        <v>25</v>
      </c>
      <c r="H2" s="1" t="s">
        <v>12</v>
      </c>
      <c r="I2" s="1" t="s">
        <v>25</v>
      </c>
      <c r="J2" s="1" t="s">
        <v>12</v>
      </c>
      <c r="K2" s="1" t="s">
        <v>25</v>
      </c>
      <c r="L2" s="1" t="s">
        <v>12</v>
      </c>
      <c r="M2" s="1" t="s">
        <v>25</v>
      </c>
      <c r="N2" s="1" t="s">
        <v>12</v>
      </c>
      <c r="O2" s="1" t="s">
        <v>25</v>
      </c>
      <c r="P2" s="1" t="s">
        <v>12</v>
      </c>
      <c r="Q2" s="1" t="s">
        <v>25</v>
      </c>
      <c r="R2" s="1" t="s">
        <v>12</v>
      </c>
      <c r="S2" s="1" t="s">
        <v>25</v>
      </c>
      <c r="T2" s="1" t="s">
        <v>12</v>
      </c>
      <c r="U2" s="1" t="s">
        <v>25</v>
      </c>
      <c r="V2" s="1" t="s">
        <v>12</v>
      </c>
      <c r="W2" s="1" t="s">
        <v>25</v>
      </c>
      <c r="X2" s="1" t="s">
        <v>12</v>
      </c>
      <c r="Y2" s="1" t="s">
        <v>25</v>
      </c>
    </row>
    <row r="3" spans="1:26" x14ac:dyDescent="0.25">
      <c r="A3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x14ac:dyDescent="0.25">
      <c r="A4" t="s">
        <v>32</v>
      </c>
      <c r="B4" s="3">
        <v>0.67600000000000005</v>
      </c>
      <c r="C4" s="1">
        <v>2</v>
      </c>
      <c r="D4" s="3">
        <v>0.76200000000000001</v>
      </c>
      <c r="E4" s="1">
        <v>44</v>
      </c>
      <c r="F4" s="3">
        <v>0.55700000000000005</v>
      </c>
      <c r="G4" s="1">
        <v>69</v>
      </c>
      <c r="H4" s="3">
        <v>0.70099999999999996</v>
      </c>
      <c r="I4" s="1">
        <v>69</v>
      </c>
      <c r="J4" s="3">
        <v>0.78800000000000003</v>
      </c>
      <c r="K4" s="1">
        <v>26</v>
      </c>
      <c r="L4" s="3">
        <v>0.72199999999999998</v>
      </c>
      <c r="M4" s="1">
        <v>14</v>
      </c>
      <c r="N4" s="3">
        <v>0.871</v>
      </c>
      <c r="O4" s="1">
        <v>69</v>
      </c>
      <c r="P4" s="3">
        <v>0.73699999999999999</v>
      </c>
      <c r="Q4" s="1">
        <v>6</v>
      </c>
      <c r="R4" s="3">
        <v>0.73699999999999999</v>
      </c>
      <c r="S4" s="1">
        <v>68</v>
      </c>
      <c r="T4" s="3">
        <v>0.65100000000000002</v>
      </c>
      <c r="U4" s="1">
        <v>41</v>
      </c>
      <c r="V4" s="3">
        <v>0.91700000000000004</v>
      </c>
      <c r="W4" s="1">
        <v>61</v>
      </c>
      <c r="X4" s="3">
        <v>0.56200000000000006</v>
      </c>
      <c r="Y4" s="1">
        <v>2</v>
      </c>
      <c r="Z4" s="4">
        <f>AVERAGE(B4,D4,F4,H4,J4,L4,N4,P4,R4,T4,V4,X4)</f>
        <v>0.7234166666666666</v>
      </c>
    </row>
    <row r="5" spans="1:26" x14ac:dyDescent="0.25">
      <c r="A5" t="s">
        <v>34</v>
      </c>
      <c r="B5" s="3">
        <v>0.67700000000000005</v>
      </c>
      <c r="C5" s="1">
        <v>2</v>
      </c>
      <c r="D5" s="3">
        <v>0.76100000000000001</v>
      </c>
      <c r="E5" s="1">
        <v>47</v>
      </c>
      <c r="F5" s="3">
        <v>0.55600000000000005</v>
      </c>
      <c r="G5" s="1">
        <v>69</v>
      </c>
      <c r="H5" s="3">
        <v>0.70099999999999996</v>
      </c>
      <c r="I5" s="1">
        <v>69</v>
      </c>
      <c r="J5" s="3">
        <v>0.78800000000000003</v>
      </c>
      <c r="K5" s="1">
        <v>26</v>
      </c>
      <c r="L5" s="3">
        <v>0.72199999999999998</v>
      </c>
      <c r="M5" s="1">
        <v>14</v>
      </c>
      <c r="N5" s="3">
        <v>0.871</v>
      </c>
      <c r="O5" s="1">
        <v>69</v>
      </c>
      <c r="P5" s="3">
        <v>0.73899999999999999</v>
      </c>
      <c r="Q5" s="1">
        <v>4</v>
      </c>
      <c r="R5" s="3">
        <v>0.73699999999999999</v>
      </c>
      <c r="S5" s="1">
        <v>68</v>
      </c>
      <c r="T5" s="3">
        <v>0.65</v>
      </c>
      <c r="U5" s="1">
        <v>40</v>
      </c>
      <c r="V5" s="3">
        <v>0.91700000000000004</v>
      </c>
      <c r="W5" s="1">
        <v>68</v>
      </c>
      <c r="X5" s="3">
        <v>0.56100000000000005</v>
      </c>
      <c r="Y5" s="1">
        <v>3</v>
      </c>
      <c r="Z5" s="4">
        <f t="shared" ref="Z5:Z30" si="0">AVERAGE(B5,D5,F5,H5,J5,L5,N5,P5,R5,T5,V5,X5)</f>
        <v>0.72333333333333349</v>
      </c>
    </row>
    <row r="6" spans="1:26" x14ac:dyDescent="0.25">
      <c r="A6" t="s">
        <v>33</v>
      </c>
      <c r="B6" s="3">
        <v>0.67600000000000005</v>
      </c>
      <c r="C6" s="1">
        <v>2</v>
      </c>
      <c r="D6" s="3">
        <v>0.76200000000000001</v>
      </c>
      <c r="E6" s="1">
        <v>34</v>
      </c>
      <c r="F6" s="3">
        <v>0.55700000000000005</v>
      </c>
      <c r="G6" s="1">
        <v>68</v>
      </c>
      <c r="H6" s="3">
        <v>0.69699999999999995</v>
      </c>
      <c r="I6" s="1">
        <v>69</v>
      </c>
      <c r="J6" s="3">
        <v>0.79</v>
      </c>
      <c r="K6" s="1">
        <v>25</v>
      </c>
      <c r="L6" s="3">
        <v>0.72199999999999998</v>
      </c>
      <c r="M6" s="1">
        <v>14</v>
      </c>
      <c r="N6" s="3">
        <v>0.872</v>
      </c>
      <c r="O6" s="1">
        <v>69</v>
      </c>
      <c r="P6" s="3">
        <v>0.73899999999999999</v>
      </c>
      <c r="Q6" s="1">
        <v>6</v>
      </c>
      <c r="R6" s="3">
        <v>0.73599999999999999</v>
      </c>
      <c r="S6" s="1">
        <v>69</v>
      </c>
      <c r="T6" s="3">
        <v>0.65</v>
      </c>
      <c r="U6" s="1">
        <v>46</v>
      </c>
      <c r="V6" s="3">
        <v>0.91900000000000004</v>
      </c>
      <c r="W6" s="1">
        <v>62</v>
      </c>
      <c r="X6" s="3">
        <v>0.56200000000000006</v>
      </c>
      <c r="Y6" s="1">
        <v>2</v>
      </c>
      <c r="Z6" s="4">
        <f t="shared" si="0"/>
        <v>0.72350000000000003</v>
      </c>
    </row>
    <row r="7" spans="1:26" x14ac:dyDescent="0.25">
      <c r="A7" t="s">
        <v>35</v>
      </c>
      <c r="B7" s="3">
        <v>0.67600000000000005</v>
      </c>
      <c r="C7" s="1">
        <v>2</v>
      </c>
      <c r="D7" s="3">
        <v>0.76</v>
      </c>
      <c r="E7" s="1">
        <v>45</v>
      </c>
      <c r="F7" s="3">
        <v>0.55800000000000005</v>
      </c>
      <c r="G7" s="1">
        <v>69</v>
      </c>
      <c r="H7" s="3">
        <v>0.69899999999999995</v>
      </c>
      <c r="I7" s="1">
        <v>68</v>
      </c>
      <c r="J7" s="3">
        <v>0.79700000000000004</v>
      </c>
      <c r="K7" s="1">
        <v>26</v>
      </c>
      <c r="L7" s="3">
        <v>0.72199999999999998</v>
      </c>
      <c r="M7" s="1">
        <v>14</v>
      </c>
      <c r="N7" s="3">
        <v>0.871</v>
      </c>
      <c r="O7" s="1">
        <v>69</v>
      </c>
      <c r="P7" s="3">
        <v>0.73799999999999999</v>
      </c>
      <c r="Q7" s="1">
        <v>6</v>
      </c>
      <c r="R7" s="3">
        <v>0.73699999999999999</v>
      </c>
      <c r="S7" s="1">
        <v>67</v>
      </c>
      <c r="T7" s="3">
        <v>0.65</v>
      </c>
      <c r="U7" s="1">
        <v>40</v>
      </c>
      <c r="V7" s="3">
        <v>0.92200000000000004</v>
      </c>
      <c r="W7" s="1">
        <v>57</v>
      </c>
      <c r="X7" s="3">
        <v>0.56200000000000006</v>
      </c>
      <c r="Y7" s="1">
        <v>2</v>
      </c>
      <c r="Z7" s="4">
        <f t="shared" si="0"/>
        <v>0.72433333333333338</v>
      </c>
    </row>
    <row r="8" spans="1:26" x14ac:dyDescent="0.25">
      <c r="A8" t="s">
        <v>22</v>
      </c>
      <c r="B8" s="3">
        <v>0.67700000000000005</v>
      </c>
      <c r="C8" s="1">
        <v>2</v>
      </c>
      <c r="D8" s="3">
        <v>0.76100000000000001</v>
      </c>
      <c r="E8" s="1">
        <v>47</v>
      </c>
      <c r="F8" s="3">
        <v>0.55600000000000005</v>
      </c>
      <c r="G8" s="1">
        <v>69</v>
      </c>
      <c r="H8" s="3">
        <v>0.69799999999999995</v>
      </c>
      <c r="I8" s="1">
        <v>68</v>
      </c>
      <c r="J8" s="3">
        <v>0.79</v>
      </c>
      <c r="K8" s="1">
        <v>26</v>
      </c>
      <c r="L8" s="3">
        <v>0.72199999999999998</v>
      </c>
      <c r="M8" s="1">
        <v>14</v>
      </c>
      <c r="N8" s="3">
        <v>0.87</v>
      </c>
      <c r="O8" s="1">
        <v>69</v>
      </c>
      <c r="P8" s="3">
        <v>0.73799999999999999</v>
      </c>
      <c r="Q8" s="1">
        <v>6</v>
      </c>
      <c r="R8" s="3">
        <v>0.73699999999999999</v>
      </c>
      <c r="S8" s="1">
        <v>67</v>
      </c>
      <c r="T8" s="3">
        <v>0.65</v>
      </c>
      <c r="U8" s="1">
        <v>41</v>
      </c>
      <c r="V8" s="3">
        <v>0.91800000000000004</v>
      </c>
      <c r="W8" s="1">
        <v>68</v>
      </c>
      <c r="X8" s="3">
        <v>0.56200000000000006</v>
      </c>
      <c r="Y8" s="1">
        <v>2</v>
      </c>
      <c r="Z8" s="4">
        <f t="shared" si="0"/>
        <v>0.72325000000000006</v>
      </c>
    </row>
    <row r="9" spans="1:26" x14ac:dyDescent="0.25">
      <c r="A9" t="s">
        <v>24</v>
      </c>
      <c r="B9" s="3">
        <v>0.67700000000000005</v>
      </c>
      <c r="C9" s="1">
        <v>2</v>
      </c>
      <c r="D9" s="3">
        <v>0.76</v>
      </c>
      <c r="E9" s="1">
        <v>35</v>
      </c>
      <c r="F9" s="3">
        <v>0.55700000000000005</v>
      </c>
      <c r="G9" s="1">
        <v>69</v>
      </c>
      <c r="H9" s="3">
        <v>0.70099999999999996</v>
      </c>
      <c r="I9" s="1">
        <v>68</v>
      </c>
      <c r="J9" s="3">
        <v>0.78800000000000003</v>
      </c>
      <c r="K9" s="1">
        <v>26</v>
      </c>
      <c r="L9" s="3">
        <v>0.72199999999999998</v>
      </c>
      <c r="M9" s="1">
        <v>14</v>
      </c>
      <c r="N9" s="3">
        <v>0.871</v>
      </c>
      <c r="O9" s="1">
        <v>69</v>
      </c>
      <c r="P9" s="3">
        <v>0.73899999999999999</v>
      </c>
      <c r="Q9" s="1">
        <v>6</v>
      </c>
      <c r="R9" s="3">
        <v>0.73699999999999999</v>
      </c>
      <c r="S9" s="1">
        <v>67</v>
      </c>
      <c r="T9" s="3">
        <v>0.65</v>
      </c>
      <c r="U9" s="1">
        <v>46</v>
      </c>
      <c r="V9" s="3">
        <v>0.92200000000000004</v>
      </c>
      <c r="W9" s="1">
        <v>65</v>
      </c>
      <c r="X9" s="3">
        <v>0.56100000000000005</v>
      </c>
      <c r="Y9" s="1">
        <v>3</v>
      </c>
      <c r="Z9" s="4">
        <f t="shared" si="0"/>
        <v>0.72375</v>
      </c>
    </row>
    <row r="10" spans="1:26" x14ac:dyDescent="0.25">
      <c r="A10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4"/>
    </row>
    <row r="11" spans="1:26" x14ac:dyDescent="0.25">
      <c r="A11" t="s">
        <v>13</v>
      </c>
      <c r="B11" s="2">
        <v>0.67611458005014502</v>
      </c>
      <c r="C11" s="1">
        <v>2</v>
      </c>
      <c r="D11" s="2">
        <v>0.75656533503103596</v>
      </c>
      <c r="E11" s="1">
        <v>35</v>
      </c>
      <c r="F11" s="2">
        <v>0.55649584357681503</v>
      </c>
      <c r="G11" s="1">
        <v>69</v>
      </c>
      <c r="H11" s="2">
        <v>0.69508333333333305</v>
      </c>
      <c r="I11" s="1">
        <v>69</v>
      </c>
      <c r="J11" s="2">
        <v>0.77037887485648604</v>
      </c>
      <c r="K11" s="1">
        <v>25</v>
      </c>
      <c r="L11" s="2">
        <v>0.72121826875986195</v>
      </c>
      <c r="M11" s="1">
        <v>14</v>
      </c>
      <c r="N11" s="2">
        <v>0.87036798335963494</v>
      </c>
      <c r="O11" s="1">
        <v>69</v>
      </c>
      <c r="P11" s="2">
        <v>0.71690759637188195</v>
      </c>
      <c r="Q11" s="1">
        <v>6</v>
      </c>
      <c r="R11" s="2">
        <v>0.73379104477611901</v>
      </c>
      <c r="S11" s="1">
        <v>64</v>
      </c>
      <c r="T11" s="2">
        <v>0.64944804019873104</v>
      </c>
      <c r="U11" s="1">
        <v>51</v>
      </c>
      <c r="V11" s="2">
        <v>0.91669276542436495</v>
      </c>
      <c r="W11" s="1">
        <v>63</v>
      </c>
      <c r="X11" s="2">
        <v>0.560274181744985</v>
      </c>
      <c r="Y11" s="1">
        <v>3</v>
      </c>
      <c r="Z11" s="4">
        <f t="shared" si="0"/>
        <v>0.71861148729028279</v>
      </c>
    </row>
    <row r="12" spans="1:26" x14ac:dyDescent="0.25">
      <c r="A12" t="s">
        <v>14</v>
      </c>
      <c r="B12" s="2">
        <v>0.67637709307641403</v>
      </c>
      <c r="C12" s="1">
        <v>2</v>
      </c>
      <c r="D12" s="2">
        <v>0.76110138468884203</v>
      </c>
      <c r="E12" s="1">
        <v>46</v>
      </c>
      <c r="F12" s="2">
        <v>0.55685328034501402</v>
      </c>
      <c r="G12" s="1">
        <v>69</v>
      </c>
      <c r="H12" s="2">
        <v>0.70016666666666605</v>
      </c>
      <c r="I12" s="1">
        <v>66</v>
      </c>
      <c r="J12" s="2">
        <v>0.78874856486796696</v>
      </c>
      <c r="K12" s="1">
        <v>40</v>
      </c>
      <c r="L12" s="2">
        <v>0.72225982206018402</v>
      </c>
      <c r="M12" s="1">
        <v>14</v>
      </c>
      <c r="N12" s="2">
        <v>0.87059706946468896</v>
      </c>
      <c r="O12" s="1">
        <v>69</v>
      </c>
      <c r="P12" s="2">
        <v>0.73816609977324199</v>
      </c>
      <c r="Q12" s="1">
        <v>6</v>
      </c>
      <c r="R12" s="2">
        <v>0.736533582089552</v>
      </c>
      <c r="S12" s="1">
        <v>66</v>
      </c>
      <c r="T12" s="2">
        <v>0.65027817096523699</v>
      </c>
      <c r="U12" s="1">
        <v>49</v>
      </c>
      <c r="V12" s="2">
        <v>0.91930264119427896</v>
      </c>
      <c r="W12" s="1">
        <v>67</v>
      </c>
      <c r="X12" s="2">
        <v>0.55138370262206604</v>
      </c>
      <c r="Y12" s="1">
        <v>2</v>
      </c>
      <c r="Z12" s="4">
        <f t="shared" si="0"/>
        <v>0.72264733981784601</v>
      </c>
    </row>
    <row r="13" spans="1:26" x14ac:dyDescent="0.25">
      <c r="A13" t="s">
        <v>15</v>
      </c>
      <c r="B13" s="2">
        <v>0.67649748845027802</v>
      </c>
      <c r="C13" s="1">
        <v>2</v>
      </c>
      <c r="D13" s="2">
        <v>0.76108148973420298</v>
      </c>
      <c r="E13" s="1">
        <v>41</v>
      </c>
      <c r="F13" s="2">
        <v>0.55717751260469095</v>
      </c>
      <c r="G13" s="1">
        <v>69</v>
      </c>
      <c r="H13" s="2">
        <v>0.70016666666666605</v>
      </c>
      <c r="I13" s="1">
        <v>66</v>
      </c>
      <c r="J13" s="2">
        <v>0.78473019517795595</v>
      </c>
      <c r="K13" s="1">
        <v>26</v>
      </c>
      <c r="L13" s="2">
        <v>0.72225982206018402</v>
      </c>
      <c r="M13" s="1">
        <v>14</v>
      </c>
      <c r="N13" s="2">
        <v>0.86970281047090103</v>
      </c>
      <c r="O13" s="1">
        <v>68</v>
      </c>
      <c r="P13" s="2">
        <v>0.73816609977324199</v>
      </c>
      <c r="Q13" s="1">
        <v>6</v>
      </c>
      <c r="R13" s="2">
        <v>0.73591417910447698</v>
      </c>
      <c r="S13" s="1">
        <v>69</v>
      </c>
      <c r="T13" s="2">
        <v>0.65000947105344398</v>
      </c>
      <c r="U13" s="1">
        <v>49</v>
      </c>
      <c r="V13" s="2">
        <v>0.91930264119427896</v>
      </c>
      <c r="W13" s="1">
        <v>67</v>
      </c>
      <c r="X13" s="2">
        <v>0.56068401291671799</v>
      </c>
      <c r="Y13" s="1">
        <v>3</v>
      </c>
      <c r="Z13" s="4">
        <f t="shared" si="0"/>
        <v>0.72297436576725327</v>
      </c>
    </row>
    <row r="14" spans="1:26" x14ac:dyDescent="0.25">
      <c r="A14" t="s">
        <v>16</v>
      </c>
      <c r="B14" s="2">
        <v>0.67607766637419597</v>
      </c>
      <c r="C14" s="1">
        <v>2</v>
      </c>
      <c r="D14" s="2">
        <v>0.75965900047747803</v>
      </c>
      <c r="E14" s="1">
        <v>44</v>
      </c>
      <c r="F14" s="2">
        <v>0.55788066690278704</v>
      </c>
      <c r="G14" s="1">
        <v>68</v>
      </c>
      <c r="H14" s="2">
        <v>0.70163888888888803</v>
      </c>
      <c r="I14" s="1">
        <v>68</v>
      </c>
      <c r="J14" s="2">
        <v>0.78989667049368495</v>
      </c>
      <c r="K14" s="1">
        <v>26</v>
      </c>
      <c r="L14" s="2">
        <v>0.70363769929803499</v>
      </c>
      <c r="M14" s="1">
        <v>6</v>
      </c>
      <c r="N14" s="2">
        <v>0.87082736022936702</v>
      </c>
      <c r="O14" s="1">
        <v>68</v>
      </c>
      <c r="P14" s="2">
        <v>0.74149659863945505</v>
      </c>
      <c r="Q14" s="1">
        <v>4</v>
      </c>
      <c r="R14" s="2">
        <v>0.73573134328358203</v>
      </c>
      <c r="S14" s="1">
        <v>68</v>
      </c>
      <c r="T14" s="2">
        <v>0.65043755324522501</v>
      </c>
      <c r="U14" s="1">
        <v>41</v>
      </c>
      <c r="V14" s="2">
        <v>0.91862407349410102</v>
      </c>
      <c r="W14" s="1">
        <v>68</v>
      </c>
      <c r="X14" s="2">
        <v>0.55588843380522901</v>
      </c>
      <c r="Y14" s="1">
        <v>3</v>
      </c>
      <c r="Z14" s="4">
        <f t="shared" si="0"/>
        <v>0.72181632959433573</v>
      </c>
    </row>
    <row r="15" spans="1:26" x14ac:dyDescent="0.25">
      <c r="A15" t="s">
        <v>17</v>
      </c>
      <c r="B15" s="2">
        <v>0.67587563498621395</v>
      </c>
      <c r="C15" s="1">
        <v>2</v>
      </c>
      <c r="D15" s="2">
        <v>0.75993752984243101</v>
      </c>
      <c r="E15" s="1">
        <v>45</v>
      </c>
      <c r="F15" s="2">
        <v>0.55630247614483896</v>
      </c>
      <c r="G15" s="1">
        <v>69</v>
      </c>
      <c r="H15" s="2">
        <v>0.69894444444444404</v>
      </c>
      <c r="I15" s="1">
        <v>69</v>
      </c>
      <c r="J15" s="2">
        <v>0.79104477611940305</v>
      </c>
      <c r="K15" s="1">
        <v>25</v>
      </c>
      <c r="L15" s="2">
        <v>0.72193927871796204</v>
      </c>
      <c r="M15" s="1">
        <v>14</v>
      </c>
      <c r="N15" s="2">
        <v>0.87129336272702795</v>
      </c>
      <c r="O15" s="1">
        <v>69</v>
      </c>
      <c r="P15" s="2">
        <v>0.73859126984126899</v>
      </c>
      <c r="Q15" s="1">
        <v>6</v>
      </c>
      <c r="R15" s="2">
        <v>0.73580597014925297</v>
      </c>
      <c r="S15" s="1">
        <v>63</v>
      </c>
      <c r="T15" s="2">
        <v>0.65086221926101195</v>
      </c>
      <c r="U15" s="1">
        <v>40</v>
      </c>
      <c r="V15" s="2">
        <v>0.92060757907923496</v>
      </c>
      <c r="W15" s="1">
        <v>64</v>
      </c>
      <c r="X15" s="2">
        <v>0.56247729083257503</v>
      </c>
      <c r="Y15" s="1">
        <v>2</v>
      </c>
      <c r="Z15" s="4">
        <f t="shared" si="0"/>
        <v>0.72364015267880555</v>
      </c>
    </row>
    <row r="16" spans="1:26" x14ac:dyDescent="0.25">
      <c r="A16" t="s">
        <v>18</v>
      </c>
      <c r="B16" s="2">
        <v>0.67692057596692501</v>
      </c>
      <c r="C16" s="1">
        <v>2</v>
      </c>
      <c r="D16" s="2">
        <v>0.76033542893522199</v>
      </c>
      <c r="E16" s="1">
        <v>45</v>
      </c>
      <c r="F16" s="2">
        <v>0.55642097066544405</v>
      </c>
      <c r="G16" s="1">
        <v>67</v>
      </c>
      <c r="H16" s="2">
        <v>0.69911111111111102</v>
      </c>
      <c r="I16" s="1">
        <v>69</v>
      </c>
      <c r="J16" s="2">
        <v>0.79219288174512004</v>
      </c>
      <c r="K16" s="1">
        <v>26</v>
      </c>
      <c r="L16" s="2">
        <v>0.72196308565054101</v>
      </c>
      <c r="M16" s="1">
        <v>14</v>
      </c>
      <c r="N16" s="2">
        <v>0.87070729582023199</v>
      </c>
      <c r="O16" s="1">
        <v>68</v>
      </c>
      <c r="P16" s="2">
        <v>0.73745748299319702</v>
      </c>
      <c r="Q16" s="1">
        <v>6</v>
      </c>
      <c r="R16" s="2">
        <v>0.73563059701492495</v>
      </c>
      <c r="S16" s="1">
        <v>63</v>
      </c>
      <c r="T16" s="2">
        <v>0.65077610806613295</v>
      </c>
      <c r="U16" s="1">
        <v>40</v>
      </c>
      <c r="V16" s="2">
        <v>0.92191251696419196</v>
      </c>
      <c r="W16" s="1">
        <v>64</v>
      </c>
      <c r="X16" s="2">
        <v>0.56167681933481906</v>
      </c>
      <c r="Y16" s="1">
        <v>2</v>
      </c>
      <c r="Z16" s="4">
        <f t="shared" si="0"/>
        <v>0.72375873952232161</v>
      </c>
    </row>
    <row r="17" spans="1:26" x14ac:dyDescent="0.25">
      <c r="A17" t="s">
        <v>19</v>
      </c>
      <c r="B17" s="2">
        <v>0.67594534504348702</v>
      </c>
      <c r="C17" s="1">
        <v>2</v>
      </c>
      <c r="D17" s="2">
        <v>0.75987784497851296</v>
      </c>
      <c r="E17" s="1">
        <v>45</v>
      </c>
      <c r="F17" s="2">
        <v>0.557581175257302</v>
      </c>
      <c r="G17" s="1">
        <v>69</v>
      </c>
      <c r="H17" s="2">
        <v>0.69819444444444401</v>
      </c>
      <c r="I17" s="1">
        <v>68</v>
      </c>
      <c r="J17" s="2">
        <v>0.790470723306544</v>
      </c>
      <c r="K17" s="1">
        <v>26</v>
      </c>
      <c r="L17" s="2">
        <v>0.72195883441258102</v>
      </c>
      <c r="M17" s="1">
        <v>14</v>
      </c>
      <c r="N17" s="2">
        <v>0.86942614031072196</v>
      </c>
      <c r="O17" s="1">
        <v>69</v>
      </c>
      <c r="P17" s="2">
        <v>0.73759920634920595</v>
      </c>
      <c r="Q17" s="1">
        <v>6</v>
      </c>
      <c r="R17" s="2">
        <v>0.73573507462686505</v>
      </c>
      <c r="S17" s="1">
        <v>69</v>
      </c>
      <c r="T17" s="2">
        <v>0.64984679039663396</v>
      </c>
      <c r="U17" s="1">
        <v>40</v>
      </c>
      <c r="V17" s="2">
        <v>0.91721474057834795</v>
      </c>
      <c r="W17" s="1">
        <v>67</v>
      </c>
      <c r="X17" s="2">
        <v>0.56091942062410305</v>
      </c>
      <c r="Y17" s="1">
        <v>3</v>
      </c>
      <c r="Z17" s="4">
        <f t="shared" si="0"/>
        <v>0.72289747836072893</v>
      </c>
    </row>
    <row r="18" spans="1:26" x14ac:dyDescent="0.25">
      <c r="A18" t="s">
        <v>39</v>
      </c>
      <c r="B18" s="2">
        <v>0.67636701280336597</v>
      </c>
      <c r="C18" s="1">
        <v>2</v>
      </c>
      <c r="D18" s="2">
        <v>0.76048464109501801</v>
      </c>
      <c r="E18" s="1">
        <v>44</v>
      </c>
      <c r="F18" s="2">
        <v>0.55756099212467103</v>
      </c>
      <c r="G18" s="1">
        <v>69</v>
      </c>
      <c r="H18" s="2">
        <v>0.69911111111111102</v>
      </c>
      <c r="I18" s="1">
        <v>68</v>
      </c>
      <c r="J18" s="2">
        <v>0.78587830080367305</v>
      </c>
      <c r="K18" s="1">
        <v>26</v>
      </c>
      <c r="L18" s="2">
        <v>0.72159322794797798</v>
      </c>
      <c r="M18" s="1">
        <v>14</v>
      </c>
      <c r="N18" s="2">
        <v>0.87056614986768799</v>
      </c>
      <c r="O18" s="1">
        <v>69</v>
      </c>
      <c r="P18" s="2">
        <v>0.739441609977324</v>
      </c>
      <c r="Q18" s="1">
        <v>6</v>
      </c>
      <c r="R18" s="2">
        <v>0.73623880597014901</v>
      </c>
      <c r="S18" s="1">
        <v>68</v>
      </c>
      <c r="T18" s="2">
        <v>0.65035697861144004</v>
      </c>
      <c r="U18" s="1">
        <v>40</v>
      </c>
      <c r="V18" s="2">
        <v>0.91909385113268605</v>
      </c>
      <c r="W18" s="1">
        <v>57</v>
      </c>
      <c r="X18" s="2">
        <v>0.56205978332255802</v>
      </c>
      <c r="Y18" s="1">
        <v>2</v>
      </c>
      <c r="Z18" s="4">
        <f t="shared" si="0"/>
        <v>0.72322937206397186</v>
      </c>
    </row>
    <row r="19" spans="1:26" x14ac:dyDescent="0.25">
      <c r="A19" t="s">
        <v>20</v>
      </c>
      <c r="B19" s="2">
        <v>0.67600852421962998</v>
      </c>
      <c r="C19" s="1">
        <v>2</v>
      </c>
      <c r="D19" s="2">
        <v>0.76066369568677294</v>
      </c>
      <c r="E19" s="1">
        <v>35</v>
      </c>
      <c r="F19" s="2">
        <v>0.55649649464561002</v>
      </c>
      <c r="G19" s="1">
        <v>69</v>
      </c>
      <c r="H19" s="2">
        <v>0.70174999999999998</v>
      </c>
      <c r="I19" s="1">
        <v>69</v>
      </c>
      <c r="J19" s="2">
        <v>0.785304247990815</v>
      </c>
      <c r="K19" s="1">
        <v>25</v>
      </c>
      <c r="L19" s="2">
        <v>0.72121826875986195</v>
      </c>
      <c r="M19" s="1">
        <v>14</v>
      </c>
      <c r="N19" s="2">
        <v>0.87186356828211498</v>
      </c>
      <c r="O19" s="1">
        <v>69</v>
      </c>
      <c r="P19" s="2">
        <v>0.73774092970521499</v>
      </c>
      <c r="Q19" s="1">
        <v>6</v>
      </c>
      <c r="R19" s="2">
        <v>0.73579104477611901</v>
      </c>
      <c r="S19" s="1">
        <v>64</v>
      </c>
      <c r="T19" s="2">
        <v>0.64984148943388498</v>
      </c>
      <c r="U19" s="1">
        <v>40</v>
      </c>
      <c r="V19" s="2">
        <v>0.91992901137905803</v>
      </c>
      <c r="W19" s="1">
        <v>63</v>
      </c>
      <c r="X19" s="2">
        <v>0.56154120402512997</v>
      </c>
      <c r="Y19" s="1">
        <v>3</v>
      </c>
      <c r="Z19" s="4">
        <f t="shared" si="0"/>
        <v>0.72317903990868426</v>
      </c>
    </row>
    <row r="20" spans="1:26" x14ac:dyDescent="0.25">
      <c r="A20" t="s">
        <v>40</v>
      </c>
      <c r="B20" s="2">
        <v>0.67687471782334196</v>
      </c>
      <c r="C20" s="1">
        <v>2</v>
      </c>
      <c r="D20" s="2">
        <v>0.761071542256883</v>
      </c>
      <c r="E20" s="1">
        <v>37</v>
      </c>
      <c r="F20" s="2">
        <v>0.55805385120213302</v>
      </c>
      <c r="G20" s="1">
        <v>69</v>
      </c>
      <c r="H20" s="2">
        <v>0.702972222222222</v>
      </c>
      <c r="I20" s="1">
        <v>68</v>
      </c>
      <c r="J20" s="2">
        <v>0.79276693455797898</v>
      </c>
      <c r="K20" s="1">
        <v>25</v>
      </c>
      <c r="L20" s="2">
        <v>0.72226067230777602</v>
      </c>
      <c r="M20" s="1">
        <v>14</v>
      </c>
      <c r="N20" s="2">
        <v>0.87148751370300304</v>
      </c>
      <c r="O20" s="1">
        <v>69</v>
      </c>
      <c r="P20" s="2">
        <v>0.734481292517006</v>
      </c>
      <c r="Q20" s="1">
        <v>6</v>
      </c>
      <c r="R20" s="2">
        <v>0.73481343283582001</v>
      </c>
      <c r="S20" s="1">
        <v>68</v>
      </c>
      <c r="T20" s="2">
        <v>0.64907426342533603</v>
      </c>
      <c r="U20" s="1">
        <v>45</v>
      </c>
      <c r="V20" s="2">
        <v>0.91643177784737395</v>
      </c>
      <c r="W20" s="1">
        <v>54</v>
      </c>
      <c r="X20" s="2">
        <v>0.56063752842377401</v>
      </c>
      <c r="Y20" s="1">
        <v>3</v>
      </c>
      <c r="Z20" s="4">
        <f t="shared" si="0"/>
        <v>0.72341047909355405</v>
      </c>
    </row>
    <row r="21" spans="1:26" x14ac:dyDescent="0.25">
      <c r="A21" t="s">
        <v>21</v>
      </c>
      <c r="B21" s="2">
        <v>0.67621055560761301</v>
      </c>
      <c r="C21" s="1">
        <v>2</v>
      </c>
      <c r="D21" s="2">
        <v>0.76024590163934402</v>
      </c>
      <c r="E21" s="1">
        <v>38</v>
      </c>
      <c r="F21" s="2">
        <v>0.557032975332305</v>
      </c>
      <c r="G21" s="1">
        <v>69</v>
      </c>
      <c r="H21" s="2">
        <v>0.69991666666666597</v>
      </c>
      <c r="I21" s="1">
        <v>68</v>
      </c>
      <c r="J21" s="2">
        <v>0.78702640642939103</v>
      </c>
      <c r="K21" s="1">
        <v>26</v>
      </c>
      <c r="L21" s="2">
        <v>0.72226832453610401</v>
      </c>
      <c r="M21" s="1">
        <v>14</v>
      </c>
      <c r="N21" s="2">
        <v>0.87177382114016999</v>
      </c>
      <c r="O21" s="1">
        <v>69</v>
      </c>
      <c r="P21" s="2">
        <v>0.73625283446711998</v>
      </c>
      <c r="Q21" s="1">
        <v>4</v>
      </c>
      <c r="R21" s="2">
        <v>0.73667164179104405</v>
      </c>
      <c r="S21" s="1">
        <v>68</v>
      </c>
      <c r="T21" s="2">
        <v>0.65045781470284403</v>
      </c>
      <c r="U21" s="1">
        <v>44</v>
      </c>
      <c r="V21" s="2">
        <v>0.91831088840171204</v>
      </c>
      <c r="W21" s="1">
        <v>66</v>
      </c>
      <c r="X21" s="2">
        <v>0.56240436561887397</v>
      </c>
      <c r="Y21" s="1">
        <v>3</v>
      </c>
      <c r="Z21" s="4">
        <f t="shared" si="0"/>
        <v>0.72321434969443221</v>
      </c>
    </row>
    <row r="22" spans="1:26" x14ac:dyDescent="0.25">
      <c r="A22" t="s">
        <v>22</v>
      </c>
      <c r="B22" s="2">
        <v>0.673590820420645</v>
      </c>
      <c r="C22" s="1">
        <v>2</v>
      </c>
      <c r="D22" s="2">
        <v>0.76149928378163301</v>
      </c>
      <c r="E22" s="1">
        <v>29</v>
      </c>
      <c r="F22" s="2">
        <v>0.55686109317054799</v>
      </c>
      <c r="G22" s="1">
        <v>68</v>
      </c>
      <c r="H22" s="2">
        <v>0.69783333333333297</v>
      </c>
      <c r="I22" s="1">
        <v>69</v>
      </c>
      <c r="J22" s="2">
        <v>0.785304247990815</v>
      </c>
      <c r="K22" s="1">
        <v>25</v>
      </c>
      <c r="L22" s="2">
        <v>0.72155921804429402</v>
      </c>
      <c r="M22" s="1">
        <v>14</v>
      </c>
      <c r="N22" s="2">
        <v>0.86722301863608398</v>
      </c>
      <c r="O22" s="1">
        <v>69</v>
      </c>
      <c r="P22" s="2">
        <v>0.73653628117913805</v>
      </c>
      <c r="Q22" s="1">
        <v>6</v>
      </c>
      <c r="R22" s="2">
        <v>0.736895522388059</v>
      </c>
      <c r="S22" s="1">
        <v>67</v>
      </c>
      <c r="T22" s="2">
        <v>0.65011454791504797</v>
      </c>
      <c r="U22" s="1">
        <v>40</v>
      </c>
      <c r="V22" s="2">
        <v>0.91862407349410102</v>
      </c>
      <c r="W22" s="1">
        <v>63</v>
      </c>
      <c r="X22" s="2">
        <v>0.56209816501397902</v>
      </c>
      <c r="Y22" s="1">
        <v>2</v>
      </c>
      <c r="Z22" s="4">
        <f t="shared" si="0"/>
        <v>0.722344967113973</v>
      </c>
    </row>
    <row r="23" spans="1:26" x14ac:dyDescent="0.25">
      <c r="A23" t="s">
        <v>23</v>
      </c>
      <c r="B23" s="2">
        <v>0.67460395884976898</v>
      </c>
      <c r="C23" s="1">
        <v>2</v>
      </c>
      <c r="D23" s="2">
        <v>0.76087259271048802</v>
      </c>
      <c r="E23" s="1">
        <v>45</v>
      </c>
      <c r="F23" s="2">
        <v>0.55773808283678405</v>
      </c>
      <c r="G23" s="1">
        <v>69</v>
      </c>
      <c r="H23" s="2">
        <v>0.69633333333333303</v>
      </c>
      <c r="I23" s="1">
        <v>69</v>
      </c>
      <c r="J23" s="2">
        <v>0.78760045924224997</v>
      </c>
      <c r="K23" s="1">
        <v>26</v>
      </c>
      <c r="L23" s="2">
        <v>0.72180153860804197</v>
      </c>
      <c r="M23" s="1">
        <v>14</v>
      </c>
      <c r="N23" s="2">
        <v>0.86949902221793895</v>
      </c>
      <c r="O23" s="1">
        <v>69</v>
      </c>
      <c r="P23" s="2">
        <v>0.73604024943310598</v>
      </c>
      <c r="Q23" s="1">
        <v>6</v>
      </c>
      <c r="R23" s="2">
        <v>0.73698507462686502</v>
      </c>
      <c r="S23" s="1">
        <v>69</v>
      </c>
      <c r="T23" s="2">
        <v>0.64985409394531102</v>
      </c>
      <c r="U23" s="1">
        <v>39</v>
      </c>
      <c r="V23" s="2">
        <v>0.91831088840171204</v>
      </c>
      <c r="W23" s="1">
        <v>61</v>
      </c>
      <c r="X23" s="2">
        <v>0.56325345392576398</v>
      </c>
      <c r="Y23" s="1">
        <v>2</v>
      </c>
      <c r="Z23" s="4">
        <f t="shared" si="0"/>
        <v>0.72274106234428015</v>
      </c>
    </row>
    <row r="24" spans="1:26" x14ac:dyDescent="0.25">
      <c r="A24" t="s">
        <v>24</v>
      </c>
      <c r="B24" s="2">
        <v>0.67518691097841099</v>
      </c>
      <c r="C24" s="1">
        <v>2</v>
      </c>
      <c r="D24" s="2">
        <v>0.76202650007957895</v>
      </c>
      <c r="E24" s="1">
        <v>45</v>
      </c>
      <c r="F24" s="2">
        <v>0.55710198862452598</v>
      </c>
      <c r="G24" s="1">
        <v>69</v>
      </c>
      <c r="H24" s="2">
        <v>0.698888888888889</v>
      </c>
      <c r="I24" s="1">
        <v>66</v>
      </c>
      <c r="J24" s="2">
        <v>0.785304247990815</v>
      </c>
      <c r="K24" s="1">
        <v>26</v>
      </c>
      <c r="L24" s="2">
        <v>0.72207106709473701</v>
      </c>
      <c r="M24" s="1">
        <v>14</v>
      </c>
      <c r="N24" s="2">
        <v>0.87039147422229102</v>
      </c>
      <c r="O24" s="1">
        <v>69</v>
      </c>
      <c r="P24" s="2">
        <v>0.739654195011337</v>
      </c>
      <c r="Q24" s="1">
        <v>6</v>
      </c>
      <c r="R24" s="2">
        <v>0.73526865671641695</v>
      </c>
      <c r="S24" s="1">
        <v>68</v>
      </c>
      <c r="T24" s="2">
        <v>0.65074936765404301</v>
      </c>
      <c r="U24" s="1">
        <v>41</v>
      </c>
      <c r="V24" s="2">
        <v>0.91768451821693298</v>
      </c>
      <c r="W24" s="1">
        <v>66</v>
      </c>
      <c r="X24" s="2">
        <v>0.56226533860328098</v>
      </c>
      <c r="Y24" s="1">
        <v>2</v>
      </c>
      <c r="Z24" s="4">
        <f t="shared" si="0"/>
        <v>0.72304942950677153</v>
      </c>
    </row>
    <row r="25" spans="1:26" x14ac:dyDescent="0.25">
      <c r="A25" t="s">
        <v>36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"/>
    </row>
    <row r="26" spans="1:26" x14ac:dyDescent="0.25">
      <c r="A26" t="s">
        <v>28</v>
      </c>
      <c r="B26" s="5">
        <v>0.71337399999999995</v>
      </c>
      <c r="C26" s="1">
        <v>46</v>
      </c>
      <c r="D26" s="5">
        <v>0.67529399999999995</v>
      </c>
      <c r="E26" s="1">
        <v>70</v>
      </c>
      <c r="F26" s="5">
        <v>0.5</v>
      </c>
      <c r="G26" s="1">
        <v>2</v>
      </c>
      <c r="H26" s="5">
        <v>0.60105600000000003</v>
      </c>
      <c r="I26" s="1">
        <v>66</v>
      </c>
      <c r="J26" s="5">
        <v>0.68082699999999996</v>
      </c>
      <c r="K26" s="1">
        <v>28</v>
      </c>
      <c r="L26" s="5">
        <v>0.54835400000000001</v>
      </c>
      <c r="M26" s="1">
        <v>14</v>
      </c>
      <c r="N26" s="5">
        <v>0.50781500000000002</v>
      </c>
      <c r="O26" s="1">
        <v>70</v>
      </c>
      <c r="P26" s="5">
        <v>0.58191599999999999</v>
      </c>
      <c r="Q26" s="1">
        <v>8</v>
      </c>
      <c r="R26" s="5">
        <v>0.51128399999999996</v>
      </c>
      <c r="S26" s="1">
        <v>23</v>
      </c>
      <c r="T26" s="5">
        <v>0.54708599999999996</v>
      </c>
      <c r="U26" s="1">
        <v>70</v>
      </c>
      <c r="V26" s="5">
        <v>0.76479799999999998</v>
      </c>
      <c r="W26" s="1">
        <v>69</v>
      </c>
      <c r="X26" s="5">
        <v>0.85033300000000001</v>
      </c>
      <c r="Y26" s="1">
        <v>29</v>
      </c>
      <c r="Z26" s="4">
        <f>AVERAGE(B26,D26,F26,H26,J26,L26,N26,P26,R26,T26,V26,X26)</f>
        <v>0.62351141666666654</v>
      </c>
    </row>
    <row r="27" spans="1:26" x14ac:dyDescent="0.25">
      <c r="A27" t="s">
        <v>29</v>
      </c>
      <c r="B27" s="3">
        <v>0.67300000000000004</v>
      </c>
      <c r="C27" s="1">
        <v>2</v>
      </c>
      <c r="D27" s="3">
        <v>0.76100000000000001</v>
      </c>
      <c r="E27" s="1">
        <v>43</v>
      </c>
      <c r="F27" s="3">
        <v>0.55800000000000005</v>
      </c>
      <c r="G27" s="1">
        <v>69</v>
      </c>
      <c r="H27" s="3">
        <v>0.7</v>
      </c>
      <c r="I27" s="1">
        <v>68</v>
      </c>
      <c r="J27" s="3">
        <v>0.79</v>
      </c>
      <c r="K27" s="1">
        <v>25</v>
      </c>
      <c r="L27" s="3">
        <v>0.72199999999999998</v>
      </c>
      <c r="M27" s="1">
        <v>13</v>
      </c>
      <c r="N27" s="3">
        <v>0.873</v>
      </c>
      <c r="O27" s="1">
        <v>69</v>
      </c>
      <c r="P27" s="3">
        <v>0.73699999999999999</v>
      </c>
      <c r="Q27" s="1">
        <v>5</v>
      </c>
      <c r="R27" s="3">
        <v>0.73599999999999999</v>
      </c>
      <c r="S27" s="1">
        <v>67</v>
      </c>
      <c r="T27" s="3">
        <v>0.65</v>
      </c>
      <c r="U27" s="1">
        <v>39</v>
      </c>
      <c r="V27" s="3">
        <v>0.91900000000000004</v>
      </c>
      <c r="W27" s="1">
        <v>63</v>
      </c>
      <c r="X27" s="3">
        <v>0.56100000000000005</v>
      </c>
      <c r="Y27" s="1">
        <v>2</v>
      </c>
      <c r="Z27" s="4">
        <f t="shared" ref="Z27:Z42" si="1">AVERAGE(B27,D27,F27,H27,J27,L27,N27,P27,R27,T27,V27,X27)</f>
        <v>0.72333333333333349</v>
      </c>
    </row>
    <row r="28" spans="1:26" x14ac:dyDescent="0.25">
      <c r="A28" t="s">
        <v>30</v>
      </c>
      <c r="B28" s="3">
        <v>0.70199999999999996</v>
      </c>
      <c r="C28" s="1">
        <v>11</v>
      </c>
      <c r="D28" s="3">
        <v>0.755</v>
      </c>
      <c r="E28" s="1">
        <v>48</v>
      </c>
      <c r="F28" s="3">
        <v>0.60199999999999998</v>
      </c>
      <c r="G28" s="1">
        <v>69</v>
      </c>
      <c r="H28" s="3">
        <v>0.64</v>
      </c>
      <c r="I28" s="1">
        <v>69</v>
      </c>
      <c r="J28" s="3">
        <v>0.80400000000000005</v>
      </c>
      <c r="K28" s="1">
        <v>50</v>
      </c>
      <c r="L28" s="3">
        <v>0.70299999999999996</v>
      </c>
      <c r="M28" s="1">
        <v>69</v>
      </c>
      <c r="N28" s="3">
        <v>0.81100000000000005</v>
      </c>
      <c r="O28" s="1">
        <v>69</v>
      </c>
      <c r="P28" s="3">
        <v>0.63900000000000001</v>
      </c>
      <c r="Q28" s="1">
        <v>5</v>
      </c>
      <c r="R28" s="3">
        <v>0.67200000000000004</v>
      </c>
      <c r="S28" s="1">
        <v>69</v>
      </c>
      <c r="T28" s="3">
        <v>0.47799999999999998</v>
      </c>
      <c r="U28" s="1">
        <v>2</v>
      </c>
      <c r="V28" s="3">
        <v>0.82299999999999995</v>
      </c>
      <c r="W28" s="1">
        <v>69</v>
      </c>
      <c r="X28" s="3">
        <v>0.67</v>
      </c>
      <c r="Y28" s="1">
        <v>5</v>
      </c>
      <c r="Z28" s="4">
        <f t="shared" si="1"/>
        <v>0.69158333333333333</v>
      </c>
    </row>
    <row r="29" spans="1:26" x14ac:dyDescent="0.25">
      <c r="A29" t="s">
        <v>31</v>
      </c>
      <c r="B29" s="5">
        <v>0.62616300000000003</v>
      </c>
      <c r="C29" s="1">
        <v>55</v>
      </c>
      <c r="D29" s="5">
        <v>0.755193</v>
      </c>
      <c r="E29" s="1">
        <v>41</v>
      </c>
      <c r="F29" s="5">
        <v>0.56922300000000003</v>
      </c>
      <c r="G29" s="1">
        <v>70</v>
      </c>
      <c r="H29" s="5">
        <v>0.56472199999999995</v>
      </c>
      <c r="I29" s="1">
        <v>70</v>
      </c>
      <c r="J29" s="5">
        <v>0.73019500000000004</v>
      </c>
      <c r="K29" s="1">
        <v>51</v>
      </c>
      <c r="L29" s="5">
        <v>0.68490499999999999</v>
      </c>
      <c r="M29" s="1">
        <v>32</v>
      </c>
      <c r="N29" s="5">
        <v>0.69914799999999999</v>
      </c>
      <c r="O29" s="1">
        <v>70</v>
      </c>
      <c r="P29" s="5">
        <v>0.70946699999999996</v>
      </c>
      <c r="Q29" s="1">
        <v>70</v>
      </c>
      <c r="R29" s="5">
        <v>0.66153700000000004</v>
      </c>
      <c r="S29" s="1">
        <v>70</v>
      </c>
      <c r="T29" s="5">
        <v>0.48705199999999998</v>
      </c>
      <c r="U29" s="1">
        <v>3</v>
      </c>
      <c r="V29" s="5">
        <v>0.63503500000000002</v>
      </c>
      <c r="W29" s="1">
        <v>70</v>
      </c>
      <c r="X29" s="5">
        <v>0.59815799999999997</v>
      </c>
      <c r="Y29" s="1">
        <v>2</v>
      </c>
      <c r="Z29" s="4">
        <f t="shared" si="1"/>
        <v>0.64339983333333339</v>
      </c>
    </row>
    <row r="30" spans="1:26" x14ac:dyDescent="0.25">
      <c r="A30" s="6" t="s">
        <v>42</v>
      </c>
      <c r="B30" s="5">
        <v>0.67740031199999995</v>
      </c>
      <c r="C30" s="1">
        <v>3</v>
      </c>
      <c r="D30" s="5">
        <v>0.75807735200000004</v>
      </c>
      <c r="E30" s="1">
        <v>51</v>
      </c>
      <c r="F30" s="5">
        <v>0.53777631400000003</v>
      </c>
      <c r="G30" s="1">
        <v>70</v>
      </c>
      <c r="H30" s="5">
        <v>0.66972222199999998</v>
      </c>
      <c r="I30" s="1">
        <v>70</v>
      </c>
      <c r="J30" s="5">
        <v>0.75889781899999997</v>
      </c>
      <c r="K30" s="1">
        <v>51</v>
      </c>
      <c r="L30" s="5">
        <v>0.74211735499999998</v>
      </c>
      <c r="M30" s="1">
        <v>18</v>
      </c>
      <c r="N30" s="5">
        <v>0.84751385899999998</v>
      </c>
      <c r="O30" s="1">
        <v>70</v>
      </c>
      <c r="P30" s="5">
        <v>0.72108843499999997</v>
      </c>
      <c r="Q30" s="1">
        <v>6</v>
      </c>
      <c r="R30" s="5">
        <v>0.73053731300000002</v>
      </c>
      <c r="S30" s="1">
        <v>70</v>
      </c>
      <c r="T30" s="5">
        <v>0.64026889300000001</v>
      </c>
      <c r="U30" s="1">
        <v>70</v>
      </c>
      <c r="V30" s="5">
        <v>0.91042906400000001</v>
      </c>
      <c r="W30" s="1">
        <v>70</v>
      </c>
      <c r="X30" s="5">
        <v>0.566802111</v>
      </c>
      <c r="Y30" s="1">
        <v>3</v>
      </c>
      <c r="Z30" s="4">
        <f t="shared" si="1"/>
        <v>0.71338592074999996</v>
      </c>
    </row>
    <row r="31" spans="1:26" x14ac:dyDescent="0.25">
      <c r="A31" s="6" t="s">
        <v>43</v>
      </c>
      <c r="B31" s="5">
        <v>0.789157318</v>
      </c>
      <c r="C31" s="1">
        <v>28</v>
      </c>
      <c r="D31" s="5">
        <v>0.75181445999999996</v>
      </c>
      <c r="E31" s="1">
        <v>6</v>
      </c>
      <c r="F31" s="5">
        <v>0.56170178999999998</v>
      </c>
      <c r="G31" s="1">
        <v>50</v>
      </c>
      <c r="H31" s="5">
        <v>0.54322222200000003</v>
      </c>
      <c r="I31" s="1">
        <v>5</v>
      </c>
      <c r="J31" s="5">
        <v>0.72904723299999996</v>
      </c>
      <c r="K31" s="1">
        <v>69</v>
      </c>
      <c r="L31" s="5">
        <v>0.64681935099999999</v>
      </c>
      <c r="M31" s="1">
        <v>41</v>
      </c>
      <c r="N31" s="5">
        <v>0.80210860799999995</v>
      </c>
      <c r="O31" s="1">
        <v>70</v>
      </c>
      <c r="P31" s="5">
        <v>0.52976190499999998</v>
      </c>
      <c r="Q31" s="1">
        <v>23</v>
      </c>
      <c r="R31" s="5">
        <v>0.585029507</v>
      </c>
      <c r="S31" s="1">
        <v>65</v>
      </c>
      <c r="T31" s="5">
        <v>0.5</v>
      </c>
      <c r="U31" s="1">
        <v>2</v>
      </c>
      <c r="V31" s="5">
        <v>0.70696314900000001</v>
      </c>
      <c r="W31" s="1">
        <v>69</v>
      </c>
      <c r="X31" s="5">
        <v>0.69836539900000005</v>
      </c>
      <c r="Y31" s="1">
        <v>16</v>
      </c>
      <c r="Z31" s="4">
        <f t="shared" si="1"/>
        <v>0.65366591183333334</v>
      </c>
    </row>
    <row r="32" spans="1:26" x14ac:dyDescent="0.25">
      <c r="A32" s="6" t="s">
        <v>44</v>
      </c>
      <c r="B32" s="5">
        <v>0.67668731000000004</v>
      </c>
      <c r="C32" s="1">
        <v>2</v>
      </c>
      <c r="D32" s="5">
        <v>0.76060401799999999</v>
      </c>
      <c r="E32" s="1">
        <v>44</v>
      </c>
      <c r="F32" s="5">
        <v>0.55760878800000002</v>
      </c>
      <c r="G32" s="1">
        <v>70</v>
      </c>
      <c r="H32" s="5">
        <v>0.69988888900000001</v>
      </c>
      <c r="I32" s="1">
        <v>69</v>
      </c>
      <c r="J32" s="5">
        <v>0.78989667900000005</v>
      </c>
      <c r="K32" s="1">
        <v>26</v>
      </c>
      <c r="L32" s="5">
        <v>0.72209675500000003</v>
      </c>
      <c r="M32" s="1">
        <v>14</v>
      </c>
      <c r="N32" s="5">
        <v>0.87280661599999998</v>
      </c>
      <c r="O32" s="1">
        <v>70</v>
      </c>
      <c r="P32" s="5">
        <v>0.73738662099999996</v>
      </c>
      <c r="Q32" s="1">
        <v>6</v>
      </c>
      <c r="R32" s="5">
        <v>0.73603731299999997</v>
      </c>
      <c r="S32" s="1">
        <v>68</v>
      </c>
      <c r="T32" s="5">
        <v>0.65049562800000005</v>
      </c>
      <c r="U32" s="1">
        <v>40</v>
      </c>
      <c r="V32" s="5">
        <v>0.91909835100000004</v>
      </c>
      <c r="W32" s="1">
        <v>64</v>
      </c>
      <c r="X32" s="5">
        <v>0.56177617300000005</v>
      </c>
      <c r="Y32" s="1">
        <v>2</v>
      </c>
      <c r="Z32" s="4">
        <f t="shared" si="1"/>
        <v>0.72369859508333334</v>
      </c>
    </row>
    <row r="33" spans="1:26" x14ac:dyDescent="0.25">
      <c r="A33" s="6" t="s">
        <v>45</v>
      </c>
      <c r="B33" s="5">
        <v>0.5</v>
      </c>
      <c r="C33" s="1">
        <v>2</v>
      </c>
      <c r="D33" s="5">
        <v>0.5</v>
      </c>
      <c r="E33" s="1">
        <v>2</v>
      </c>
      <c r="F33" s="5">
        <v>0.50321884100000003</v>
      </c>
      <c r="G33" s="1">
        <v>36</v>
      </c>
      <c r="H33" s="5">
        <v>0.65425</v>
      </c>
      <c r="I33" s="1">
        <v>53</v>
      </c>
      <c r="J33" s="5">
        <v>0.70750810799999997</v>
      </c>
      <c r="K33" s="1">
        <v>36</v>
      </c>
      <c r="L33" s="5">
        <v>0.5</v>
      </c>
      <c r="M33" s="1">
        <v>2</v>
      </c>
      <c r="N33" s="5">
        <v>0.64988073899999999</v>
      </c>
      <c r="O33" s="1">
        <v>70</v>
      </c>
      <c r="P33" s="5">
        <v>0.76941610000000005</v>
      </c>
      <c r="Q33" s="1">
        <v>57</v>
      </c>
      <c r="R33" s="5">
        <v>0.66786567600000002</v>
      </c>
      <c r="S33" s="1">
        <v>70</v>
      </c>
      <c r="T33" s="5">
        <v>0.5</v>
      </c>
      <c r="U33" s="1">
        <v>2</v>
      </c>
      <c r="V33" s="5">
        <v>0.78510205</v>
      </c>
      <c r="W33" s="1">
        <v>70</v>
      </c>
      <c r="X33" s="5">
        <v>0.70946765499999997</v>
      </c>
      <c r="Y33" s="1">
        <v>62</v>
      </c>
      <c r="Z33" s="4">
        <f t="shared" si="1"/>
        <v>0.62055909741666671</v>
      </c>
    </row>
    <row r="34" spans="1:26" x14ac:dyDescent="0.25">
      <c r="A34" s="6" t="s">
        <v>46</v>
      </c>
      <c r="B34" s="5">
        <v>0.67740031199999995</v>
      </c>
      <c r="C34" s="1">
        <v>3</v>
      </c>
      <c r="D34" s="5">
        <v>0.75807735200000004</v>
      </c>
      <c r="E34" s="1">
        <v>51</v>
      </c>
      <c r="F34" s="5">
        <v>0.53777631400000003</v>
      </c>
      <c r="G34" s="1">
        <v>70</v>
      </c>
      <c r="H34" s="5">
        <v>0.66972222199999998</v>
      </c>
      <c r="I34" s="1">
        <v>70</v>
      </c>
      <c r="J34" s="5">
        <v>0.75889781899999997</v>
      </c>
      <c r="K34" s="1">
        <v>51</v>
      </c>
      <c r="L34" s="5">
        <v>0.74211735499999998</v>
      </c>
      <c r="M34" s="1">
        <v>18</v>
      </c>
      <c r="N34" s="5">
        <v>0.84751385899999998</v>
      </c>
      <c r="O34" s="1">
        <v>70</v>
      </c>
      <c r="P34" s="5">
        <v>0.72108843499999997</v>
      </c>
      <c r="Q34" s="1">
        <v>6</v>
      </c>
      <c r="R34" s="5">
        <v>0.73053731300000002</v>
      </c>
      <c r="S34" s="1">
        <v>70</v>
      </c>
      <c r="T34" s="5">
        <v>0.64026889300000001</v>
      </c>
      <c r="U34" s="1">
        <v>70</v>
      </c>
      <c r="V34" s="5">
        <v>0.91042906400000001</v>
      </c>
      <c r="W34" s="1">
        <v>70</v>
      </c>
      <c r="X34" s="5">
        <v>0.566802111</v>
      </c>
      <c r="Y34" s="1">
        <v>3</v>
      </c>
      <c r="Z34" s="4">
        <f t="shared" si="1"/>
        <v>0.71338592074999996</v>
      </c>
    </row>
    <row r="35" spans="1:26" x14ac:dyDescent="0.25">
      <c r="A35" s="6" t="s">
        <v>47</v>
      </c>
      <c r="B35" s="5">
        <v>0.72094709099999998</v>
      </c>
      <c r="C35" s="1">
        <v>38</v>
      </c>
      <c r="D35" s="5">
        <v>0.75760499699999995</v>
      </c>
      <c r="E35" s="1">
        <v>70</v>
      </c>
      <c r="F35" s="5">
        <v>0.56835961899999998</v>
      </c>
      <c r="G35" s="1">
        <v>21</v>
      </c>
      <c r="H35" s="5">
        <v>0.55549999999999999</v>
      </c>
      <c r="I35" s="1">
        <v>70</v>
      </c>
      <c r="J35" s="5">
        <v>0.74167623400000005</v>
      </c>
      <c r="K35" s="1">
        <v>65</v>
      </c>
      <c r="L35" s="5">
        <v>0.65276568400000001</v>
      </c>
      <c r="M35" s="1">
        <v>70</v>
      </c>
      <c r="N35" s="5">
        <v>0.77426565999999997</v>
      </c>
      <c r="O35" s="1">
        <v>70</v>
      </c>
      <c r="P35" s="5">
        <v>0.57560827199999998</v>
      </c>
      <c r="Q35" s="1">
        <v>19</v>
      </c>
      <c r="R35" s="5">
        <v>0.61534195199999997</v>
      </c>
      <c r="S35" s="1">
        <v>69</v>
      </c>
      <c r="T35" s="5">
        <v>0.472106894</v>
      </c>
      <c r="U35" s="1">
        <v>3</v>
      </c>
      <c r="V35" s="5">
        <v>0.77322283700000005</v>
      </c>
      <c r="W35" s="1">
        <v>70</v>
      </c>
      <c r="X35" s="5">
        <v>0.68352722399999999</v>
      </c>
      <c r="Y35" s="1">
        <v>14</v>
      </c>
      <c r="Z35" s="4">
        <f t="shared" si="1"/>
        <v>0.65757720533333341</v>
      </c>
    </row>
    <row r="36" spans="1:26" x14ac:dyDescent="0.25">
      <c r="A36" s="6" t="s">
        <v>48</v>
      </c>
      <c r="B36" s="5">
        <v>0.713129071</v>
      </c>
      <c r="C36" s="1">
        <v>31</v>
      </c>
      <c r="D36" s="5">
        <v>0.75298426299999999</v>
      </c>
      <c r="E36" s="1">
        <v>70</v>
      </c>
      <c r="F36" s="5">
        <v>0.57978457400000005</v>
      </c>
      <c r="G36" s="1">
        <v>69</v>
      </c>
      <c r="H36" s="5">
        <v>0.56316666699999995</v>
      </c>
      <c r="I36" s="1">
        <v>68</v>
      </c>
      <c r="J36" s="5">
        <v>0.74628656800000004</v>
      </c>
      <c r="K36" s="1">
        <v>64</v>
      </c>
      <c r="L36" s="5">
        <v>0.68026917899999995</v>
      </c>
      <c r="M36" s="1">
        <v>70</v>
      </c>
      <c r="N36" s="5">
        <v>0.75350314299999999</v>
      </c>
      <c r="O36" s="1">
        <v>70</v>
      </c>
      <c r="P36" s="5">
        <v>0.52508503399999995</v>
      </c>
      <c r="Q36" s="1">
        <v>11</v>
      </c>
      <c r="R36" s="5">
        <v>0.61620895499999995</v>
      </c>
      <c r="S36" s="1">
        <v>70</v>
      </c>
      <c r="T36" s="5">
        <v>0.50693731099999995</v>
      </c>
      <c r="U36" s="1">
        <v>2</v>
      </c>
      <c r="V36" s="5">
        <v>0.73682012699999999</v>
      </c>
      <c r="W36" s="1">
        <v>70</v>
      </c>
      <c r="X36" s="5">
        <v>0.70205572299999996</v>
      </c>
      <c r="Y36" s="1">
        <v>6</v>
      </c>
      <c r="Z36" s="4">
        <f t="shared" si="1"/>
        <v>0.65635255124999992</v>
      </c>
    </row>
    <row r="37" spans="1:26" x14ac:dyDescent="0.25">
      <c r="A37" t="s">
        <v>37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4"/>
    </row>
    <row r="38" spans="1:26" x14ac:dyDescent="0.25">
      <c r="A38" t="s">
        <v>28</v>
      </c>
      <c r="B38" s="3">
        <v>0.67800000000000005</v>
      </c>
      <c r="C38" s="1"/>
      <c r="D38" s="3">
        <v>0.72499999999999998</v>
      </c>
      <c r="E38" s="1"/>
      <c r="F38" s="3">
        <v>0.48399999999999999</v>
      </c>
      <c r="G38" s="1"/>
      <c r="H38" s="3">
        <v>0.629</v>
      </c>
      <c r="I38" s="1"/>
      <c r="J38" s="3">
        <v>0.64900000000000002</v>
      </c>
      <c r="K38" s="1"/>
      <c r="L38" s="3">
        <v>0.65700000000000003</v>
      </c>
      <c r="M38" s="1"/>
      <c r="N38" s="3">
        <v>0.70099999999999996</v>
      </c>
      <c r="O38" s="1"/>
      <c r="P38" s="3">
        <v>0.625</v>
      </c>
      <c r="Q38" s="1"/>
      <c r="R38" s="3">
        <v>0.67</v>
      </c>
      <c r="S38" s="1"/>
      <c r="T38" s="3">
        <v>0.40300000000000002</v>
      </c>
      <c r="U38" s="1"/>
      <c r="V38" s="3">
        <v>0.70399999999999996</v>
      </c>
      <c r="W38" s="1"/>
      <c r="X38" s="3">
        <v>0.58599999999999997</v>
      </c>
      <c r="Y38" s="1"/>
      <c r="Z38" s="4">
        <f t="shared" si="1"/>
        <v>0.62591666666666668</v>
      </c>
    </row>
    <row r="39" spans="1:26" x14ac:dyDescent="0.25">
      <c r="A39" t="s">
        <v>29</v>
      </c>
      <c r="B39" s="3">
        <v>0.64900000000000002</v>
      </c>
      <c r="C39" s="1">
        <v>2</v>
      </c>
      <c r="D39" s="3">
        <v>0.752</v>
      </c>
      <c r="E39" s="1">
        <v>61</v>
      </c>
      <c r="F39" s="3">
        <v>0.64600000000000002</v>
      </c>
      <c r="G39" s="1">
        <v>69</v>
      </c>
      <c r="H39" s="3">
        <v>0.68100000000000005</v>
      </c>
      <c r="I39" s="1">
        <v>67</v>
      </c>
      <c r="J39" s="3">
        <v>0.78600000000000003</v>
      </c>
      <c r="K39" s="1">
        <v>22</v>
      </c>
      <c r="L39" s="3">
        <v>0.72199999999999998</v>
      </c>
      <c r="M39" s="1">
        <v>13</v>
      </c>
      <c r="N39" s="3">
        <v>0.88100000000000001</v>
      </c>
      <c r="O39" s="1">
        <v>69</v>
      </c>
      <c r="P39" s="3">
        <v>0.65200000000000002</v>
      </c>
      <c r="Q39" s="1">
        <v>5</v>
      </c>
      <c r="R39" s="3">
        <v>0.73099999999999998</v>
      </c>
      <c r="S39" s="1">
        <v>69</v>
      </c>
      <c r="T39" s="3">
        <v>0.57299999999999995</v>
      </c>
      <c r="U39" s="1">
        <v>64</v>
      </c>
      <c r="V39" s="3">
        <v>0.90100000000000002</v>
      </c>
      <c r="W39" s="1">
        <v>16</v>
      </c>
      <c r="X39" s="3">
        <v>0.55200000000000005</v>
      </c>
      <c r="Y39" s="1">
        <v>2</v>
      </c>
      <c r="Z39" s="4">
        <f t="shared" si="1"/>
        <v>0.71050000000000002</v>
      </c>
    </row>
    <row r="40" spans="1:26" x14ac:dyDescent="0.25">
      <c r="A40" t="s">
        <v>30</v>
      </c>
      <c r="B40" s="3">
        <v>0.67400000000000004</v>
      </c>
      <c r="C40" s="1">
        <v>11</v>
      </c>
      <c r="D40" s="3">
        <v>0.74199999999999999</v>
      </c>
      <c r="E40" s="1">
        <v>69</v>
      </c>
      <c r="F40" s="3">
        <v>0.61</v>
      </c>
      <c r="G40" s="1">
        <v>69</v>
      </c>
      <c r="H40" s="3">
        <v>0.61399999999999999</v>
      </c>
      <c r="I40" s="1">
        <v>68</v>
      </c>
      <c r="J40" s="3">
        <v>0.80400000000000005</v>
      </c>
      <c r="K40" s="1">
        <v>47</v>
      </c>
      <c r="L40" s="3">
        <v>0.68700000000000006</v>
      </c>
      <c r="M40" s="1">
        <v>69</v>
      </c>
      <c r="N40" s="3">
        <v>0.78600000000000003</v>
      </c>
      <c r="O40" s="1">
        <v>49</v>
      </c>
      <c r="P40" s="3">
        <v>0.61399999999999999</v>
      </c>
      <c r="Q40" s="1">
        <v>5</v>
      </c>
      <c r="R40" s="3">
        <v>0.66400000000000003</v>
      </c>
      <c r="S40" s="1">
        <v>69</v>
      </c>
      <c r="T40" s="3">
        <v>0.495</v>
      </c>
      <c r="U40" s="1">
        <v>2</v>
      </c>
      <c r="V40" s="3">
        <v>0.75600000000000001</v>
      </c>
      <c r="W40" s="1">
        <v>69</v>
      </c>
      <c r="X40" s="3">
        <v>0.64500000000000002</v>
      </c>
      <c r="Y40" s="1">
        <v>4</v>
      </c>
      <c r="Z40" s="4">
        <f t="shared" si="1"/>
        <v>0.6742499999999999</v>
      </c>
    </row>
    <row r="41" spans="1:26" x14ac:dyDescent="0.25">
      <c r="A41" t="s">
        <v>31</v>
      </c>
      <c r="B41" s="3">
        <v>0.66600000000000004</v>
      </c>
      <c r="C41" s="1"/>
      <c r="D41" s="3">
        <v>0.71899999999999997</v>
      </c>
      <c r="E41" s="1"/>
      <c r="F41" s="3">
        <v>0.56699999999999995</v>
      </c>
      <c r="G41" s="1"/>
      <c r="H41" s="3">
        <v>0.52700000000000002</v>
      </c>
      <c r="I41" s="1"/>
      <c r="J41" s="3">
        <v>0.51100000000000001</v>
      </c>
      <c r="K41" s="1"/>
      <c r="L41" s="3">
        <v>0.67900000000000005</v>
      </c>
      <c r="M41" s="1"/>
      <c r="N41" s="3">
        <v>0.68600000000000005</v>
      </c>
      <c r="O41" s="1"/>
      <c r="P41" s="3">
        <v>0.622</v>
      </c>
      <c r="Q41" s="1"/>
      <c r="R41" s="3">
        <v>0.58199999999999996</v>
      </c>
      <c r="S41" s="1"/>
      <c r="T41" s="3">
        <v>0.435</v>
      </c>
      <c r="U41" s="1"/>
      <c r="V41" s="3">
        <v>0.61499999999999999</v>
      </c>
      <c r="W41" s="1"/>
      <c r="X41" s="3">
        <v>0.621</v>
      </c>
      <c r="Y41" s="1"/>
      <c r="Z41" s="4">
        <f t="shared" si="1"/>
        <v>0.60250000000000004</v>
      </c>
    </row>
    <row r="42" spans="1:26" x14ac:dyDescent="0.25">
      <c r="A42" t="s">
        <v>41</v>
      </c>
      <c r="B42" s="5">
        <v>0.45821087931215598</v>
      </c>
      <c r="C42" s="5"/>
      <c r="D42" s="5">
        <v>0.74988063027216201</v>
      </c>
      <c r="E42" s="5"/>
      <c r="F42" s="5">
        <v>0.78896256094003903</v>
      </c>
      <c r="G42" s="5"/>
      <c r="H42" s="5">
        <v>0.64822222222222203</v>
      </c>
      <c r="I42" s="5"/>
      <c r="J42" s="5">
        <v>0.72789896670493603</v>
      </c>
      <c r="K42" s="5"/>
      <c r="L42" s="5">
        <v>0.66390562931925701</v>
      </c>
      <c r="M42" s="5"/>
      <c r="N42" s="5">
        <v>0.88994872165536298</v>
      </c>
      <c r="O42" s="5"/>
      <c r="P42" s="5">
        <v>0.40617913832199498</v>
      </c>
      <c r="Q42" s="5"/>
      <c r="R42" s="5">
        <v>0.66776119402985001</v>
      </c>
      <c r="S42" s="5"/>
      <c r="T42" s="5">
        <v>0.55065600003015602</v>
      </c>
      <c r="U42" s="5"/>
      <c r="V42" s="5">
        <v>0.88359954066186397</v>
      </c>
      <c r="W42" s="5"/>
      <c r="X42" s="5">
        <v>0.34797012027969099</v>
      </c>
      <c r="Z42" s="4">
        <f t="shared" si="1"/>
        <v>0.64859963364580764</v>
      </c>
    </row>
  </sheetData>
  <mergeCells count="2">
    <mergeCell ref="B1:C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641BA8DE334842A85077398C01BBBA" ma:contentTypeVersion="9" ma:contentTypeDescription="Create a new document." ma:contentTypeScope="" ma:versionID="4f83d05ca33908bc533623d969844f17">
  <xsd:schema xmlns:xsd="http://www.w3.org/2001/XMLSchema" xmlns:xs="http://www.w3.org/2001/XMLSchema" xmlns:p="http://schemas.microsoft.com/office/2006/metadata/properties" xmlns:ns3="906dbc11-b979-4ae0-95e7-e49ad193df4b" targetNamespace="http://schemas.microsoft.com/office/2006/metadata/properties" ma:root="true" ma:fieldsID="89abe9a8151c863180a8363b997a0652" ns3:_="">
    <xsd:import namespace="906dbc11-b979-4ae0-95e7-e49ad193df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dbc11-b979-4ae0-95e7-e49ad193df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6dbc11-b979-4ae0-95e7-e49ad193df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127510-CEFA-49C2-BEA4-6138360E81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dbc11-b979-4ae0-95e7-e49ad193df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213421-22BD-4115-AC95-E3D2D0B6CD1C}">
  <ds:schemaRefs>
    <ds:schemaRef ds:uri="http://schemas.microsoft.com/office/2006/metadata/properties"/>
    <ds:schemaRef ds:uri="906dbc11-b979-4ae0-95e7-e49ad193df4b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886D243-CD13-47C7-B7D6-532BA13F30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Cole Lorne C Hodge 4210</dc:creator>
  <cp:lastModifiedBy>Karson Hodge</cp:lastModifiedBy>
  <dcterms:created xsi:type="dcterms:W3CDTF">2025-04-24T03:44:09Z</dcterms:created>
  <dcterms:modified xsi:type="dcterms:W3CDTF">2025-05-23T21:01:42Z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0x010100C4641BA8DE334842A85077398C01BBBA</vt:lpwstr>
  </property>
</Properties>
</file>