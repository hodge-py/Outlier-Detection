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hodg\OneDrive\Documents\Github\Outlier-Detection\"/>
    </mc:Choice>
  </mc:AlternateContent>
  <xr:revisionPtr revIDLastSave="0" documentId="13_ncr:1_{CAF16760-DC2F-4209-AE1F-DCD2E7268A94}" xr6:coauthVersionLast="47" xr6:coauthVersionMax="47" xr10:uidLastSave="{00000000-0000-0000-0000-000000000000}"/>
  <bookViews>
    <workbookView xWindow="-19320" yWindow="-120" windowWidth="19440" windowHeight="14880" activeTab="1" xr2:uid="{00000000-000D-0000-FFFF-FFFF00000000}"/>
  </bookViews>
  <sheets>
    <sheet name="Results" sheetId="1" r:id="rId1"/>
    <sheet name="Latex" sheetId="14" r:id="rId2"/>
    <sheet name="Arrhythmia" sheetId="2" r:id="rId3"/>
    <sheet name="Parkinson" sheetId="3" r:id="rId4"/>
    <sheet name="Shuttle" sheetId="4" r:id="rId5"/>
    <sheet name="WBC" sheetId="5" r:id="rId6"/>
    <sheet name="SpamBase" sheetId="6" r:id="rId7"/>
    <sheet name="WPBC" sheetId="7" r:id="rId8"/>
    <sheet name="HeartDisease" sheetId="8" r:id="rId9"/>
    <sheet name="Glass" sheetId="9" r:id="rId10"/>
    <sheet name="Hep" sheetId="10" r:id="rId11"/>
    <sheet name="Pima" sheetId="11" r:id="rId12"/>
    <sheet name="PenDigits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4" l="1"/>
  <c r="B45" i="14"/>
  <c r="B31" i="1"/>
  <c r="B31" i="14"/>
  <c r="B19" i="14"/>
  <c r="B20" i="14"/>
  <c r="B21" i="14"/>
  <c r="B22" i="14"/>
  <c r="B23" i="14"/>
  <c r="B24" i="14"/>
  <c r="B25" i="14"/>
  <c r="B26" i="14"/>
  <c r="B27" i="14"/>
  <c r="B28" i="14"/>
  <c r="B18" i="14"/>
  <c r="M18" i="14"/>
  <c r="C14" i="14"/>
  <c r="D14" i="14"/>
  <c r="E14" i="14"/>
  <c r="F14" i="14"/>
  <c r="G14" i="14"/>
  <c r="H14" i="14"/>
  <c r="I14" i="14"/>
  <c r="J14" i="14"/>
  <c r="K14" i="14"/>
  <c r="L14" i="14"/>
  <c r="M14" i="14"/>
  <c r="B14" i="14"/>
  <c r="C13" i="1"/>
  <c r="B13" i="1"/>
  <c r="G13" i="1"/>
  <c r="H13" i="1"/>
  <c r="I13" i="1"/>
  <c r="J13" i="1"/>
  <c r="K13" i="1"/>
  <c r="L13" i="1"/>
  <c r="M13" i="1"/>
  <c r="N13" i="1"/>
  <c r="O13" i="1"/>
  <c r="P13" i="1"/>
  <c r="F13" i="1"/>
  <c r="O14" i="14"/>
  <c r="N14" i="14"/>
  <c r="D25" i="2"/>
  <c r="C41" i="12"/>
  <c r="C37" i="12"/>
  <c r="C34" i="12"/>
  <c r="C30" i="12"/>
  <c r="C27" i="12"/>
  <c r="C24" i="12"/>
  <c r="C20" i="12"/>
  <c r="C16" i="12"/>
  <c r="C13" i="12"/>
  <c r="C9" i="12"/>
  <c r="C5" i="12"/>
  <c r="C2" i="12"/>
  <c r="C32" i="11"/>
  <c r="C29" i="11"/>
  <c r="C26" i="11"/>
  <c r="C24" i="11"/>
  <c r="C21" i="11"/>
  <c r="C20" i="11"/>
  <c r="C16" i="11"/>
  <c r="C14" i="11"/>
  <c r="C12" i="11"/>
  <c r="C10" i="11"/>
  <c r="C6" i="11"/>
  <c r="C2" i="11"/>
  <c r="C39" i="10"/>
  <c r="C36" i="10"/>
  <c r="C32" i="10"/>
  <c r="C29" i="10"/>
  <c r="C26" i="10"/>
  <c r="C22" i="10"/>
  <c r="C19" i="10"/>
  <c r="C15" i="10"/>
  <c r="C11" i="10"/>
  <c r="C8" i="10"/>
  <c r="C5" i="10"/>
  <c r="C2" i="10"/>
  <c r="C35" i="9"/>
  <c r="C32" i="9"/>
  <c r="C28" i="9"/>
  <c r="C25" i="9"/>
  <c r="C22" i="9"/>
  <c r="C18" i="9"/>
  <c r="C15" i="9"/>
  <c r="C12" i="9"/>
  <c r="C10" i="9"/>
  <c r="C7" i="9"/>
  <c r="C5" i="9"/>
  <c r="C2" i="9"/>
  <c r="C40" i="8"/>
  <c r="C36" i="8"/>
  <c r="C32" i="8"/>
  <c r="C28" i="8"/>
  <c r="C25" i="8"/>
  <c r="C21" i="8"/>
  <c r="C18" i="8"/>
  <c r="C14" i="8"/>
  <c r="C11" i="8"/>
  <c r="C9" i="8"/>
  <c r="C6" i="8"/>
  <c r="C2" i="8"/>
  <c r="C33" i="7"/>
  <c r="C30" i="7"/>
  <c r="C27" i="7"/>
  <c r="C24" i="7"/>
  <c r="C21" i="7"/>
  <c r="C19" i="7"/>
  <c r="C17" i="7"/>
  <c r="C14" i="7"/>
  <c r="C11" i="7"/>
  <c r="C8" i="7"/>
  <c r="C4" i="7"/>
  <c r="C2" i="7"/>
  <c r="C37" i="6"/>
  <c r="C34" i="6"/>
  <c r="C30" i="6"/>
  <c r="C26" i="6"/>
  <c r="C24" i="6"/>
  <c r="C20" i="6"/>
  <c r="C16" i="6"/>
  <c r="C14" i="6"/>
  <c r="C12" i="6"/>
  <c r="C9" i="6"/>
  <c r="C6" i="6"/>
  <c r="C2" i="6"/>
  <c r="C32" i="5"/>
  <c r="C31" i="5"/>
  <c r="C28" i="5"/>
  <c r="C24" i="5"/>
  <c r="C21" i="5"/>
  <c r="C18" i="5"/>
  <c r="C15" i="5"/>
  <c r="C12" i="5"/>
  <c r="C10" i="5"/>
  <c r="C7" i="5"/>
  <c r="C4" i="5"/>
  <c r="C2" i="5"/>
  <c r="C39" i="4"/>
  <c r="C36" i="4"/>
  <c r="C32" i="4"/>
  <c r="C28" i="4"/>
  <c r="C25" i="4"/>
  <c r="C22" i="4"/>
  <c r="C18" i="4"/>
  <c r="C14" i="4"/>
  <c r="C11" i="4"/>
  <c r="C7" i="4"/>
  <c r="C5" i="4"/>
  <c r="C2" i="4"/>
  <c r="C39" i="3"/>
  <c r="C35" i="3"/>
  <c r="C32" i="3"/>
  <c r="C28" i="3"/>
  <c r="C24" i="3"/>
  <c r="C21" i="3"/>
  <c r="C18" i="3"/>
  <c r="C14" i="3"/>
  <c r="C11" i="3"/>
  <c r="C7" i="3"/>
  <c r="C6" i="3"/>
  <c r="C3" i="3"/>
  <c r="D39" i="2"/>
  <c r="D36" i="2"/>
  <c r="D33" i="2"/>
  <c r="D30" i="2"/>
  <c r="D28" i="2"/>
  <c r="D23" i="2"/>
  <c r="D20" i="2"/>
  <c r="D12" i="2"/>
  <c r="D16" i="2"/>
  <c r="D8" i="2"/>
  <c r="D4" i="2"/>
  <c r="E13" i="1"/>
  <c r="D13" i="1"/>
</calcChain>
</file>

<file path=xl/sharedStrings.xml><?xml version="1.0" encoding="utf-8"?>
<sst xmlns="http://schemas.openxmlformats.org/spreadsheetml/2006/main" count="530" uniqueCount="39">
  <si>
    <t>Arrhy</t>
  </si>
  <si>
    <t>Parkinson</t>
  </si>
  <si>
    <t>Shuttle</t>
  </si>
  <si>
    <t>WBC</t>
  </si>
  <si>
    <t>SpamBase</t>
  </si>
  <si>
    <t>WPBC</t>
  </si>
  <si>
    <t>HeartDisease</t>
  </si>
  <si>
    <t>Glass</t>
  </si>
  <si>
    <t>Hep</t>
  </si>
  <si>
    <t>Pima</t>
  </si>
  <si>
    <t>PenDigits</t>
  </si>
  <si>
    <t>Dataset</t>
  </si>
  <si>
    <t>Gamma</t>
  </si>
  <si>
    <t>KNN</t>
  </si>
  <si>
    <t>FastABOD</t>
  </si>
  <si>
    <t>LDOF</t>
  </si>
  <si>
    <t>LDF</t>
  </si>
  <si>
    <t>Gamma R^2 Q-Q</t>
  </si>
  <si>
    <t>Gamma uses manhattan distance</t>
  </si>
  <si>
    <r>
      <t>Gamma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Q-Q</t>
    </r>
  </si>
  <si>
    <t>Algorithm</t>
  </si>
  <si>
    <t>ROC AUC</t>
  </si>
  <si>
    <t>KNNW</t>
  </si>
  <si>
    <t>LOF</t>
  </si>
  <si>
    <t>SimplifiedLOF</t>
  </si>
  <si>
    <t>LoOP</t>
  </si>
  <si>
    <t>ODIN</t>
  </si>
  <si>
    <t>KDEOS</t>
  </si>
  <si>
    <t>INFLO</t>
  </si>
  <si>
    <t>COF</t>
  </si>
  <si>
    <t>Average</t>
  </si>
  <si>
    <t>Count that beats</t>
  </si>
  <si>
    <r>
      <t>Gamma Q-Q Plot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</si>
  <si>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>State of Art</t>
  </si>
  <si>
    <t>Proposed</t>
  </si>
  <si>
    <t>Arrhythmia</t>
  </si>
  <si>
    <t>Skewness</t>
  </si>
  <si>
    <t>Gamma ROC AUC</t>
  </si>
  <si>
    <t>Hepatitis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</si>
</sst>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2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activeCell="H25" sqref="H25"/>
    </sheetView>
  </sheetViews>
  <sheetFormatPr defaultRowHeight="15" x14ac:dyDescent="0.25"/>
  <cols>
    <col min="1" max="1" width="16.140625" customWidth="1"/>
    <col min="2" max="2" width="13.85546875" customWidth="1"/>
    <col min="3" max="3" width="15.5703125" customWidth="1"/>
    <col min="4" max="4" width="25" customWidth="1"/>
    <col min="5" max="5" width="10.5703125" customWidth="1"/>
    <col min="6" max="6" width="14.5703125" customWidth="1"/>
    <col min="8" max="8" width="13.140625" customWidth="1"/>
    <col min="12" max="12" width="10.85546875" customWidth="1"/>
  </cols>
  <sheetData>
    <row r="1" spans="1:16" ht="17.25" x14ac:dyDescent="0.25">
      <c r="A1" t="s">
        <v>11</v>
      </c>
      <c r="B1" t="s">
        <v>12</v>
      </c>
      <c r="C1" t="s">
        <v>17</v>
      </c>
      <c r="D1" t="s">
        <v>19</v>
      </c>
      <c r="E1" t="s">
        <v>13</v>
      </c>
      <c r="F1" t="s">
        <v>22</v>
      </c>
      <c r="G1" t="s">
        <v>23</v>
      </c>
      <c r="H1" t="s">
        <v>24</v>
      </c>
      <c r="I1" t="s">
        <v>25</v>
      </c>
      <c r="J1" t="s">
        <v>15</v>
      </c>
      <c r="K1" t="s">
        <v>26</v>
      </c>
      <c r="L1" t="s">
        <v>14</v>
      </c>
      <c r="M1" t="s">
        <v>27</v>
      </c>
      <c r="N1" t="s">
        <v>16</v>
      </c>
      <c r="O1" t="s">
        <v>28</v>
      </c>
      <c r="P1" t="s">
        <v>29</v>
      </c>
    </row>
    <row r="2" spans="1:16" x14ac:dyDescent="0.25">
      <c r="A2" t="s">
        <v>0</v>
      </c>
      <c r="B2">
        <v>0.76202650007957895</v>
      </c>
      <c r="C2">
        <v>0.93830000000000002</v>
      </c>
      <c r="D2" s="2">
        <v>0.97450000000000003</v>
      </c>
      <c r="E2" s="1">
        <v>0.752</v>
      </c>
      <c r="F2">
        <v>0.75007999999999997</v>
      </c>
      <c r="G2">
        <v>0.74421000000000004</v>
      </c>
      <c r="H2">
        <v>0.74339</v>
      </c>
      <c r="I2">
        <v>0.74111000000000005</v>
      </c>
      <c r="J2">
        <v>0.73451999999999995</v>
      </c>
      <c r="K2">
        <v>0.72668999999999995</v>
      </c>
      <c r="L2">
        <v>0.74175999999999997</v>
      </c>
      <c r="M2">
        <v>0.66100999999999999</v>
      </c>
      <c r="N2">
        <v>0.72285999999999995</v>
      </c>
      <c r="O2">
        <v>0.73153999999999997</v>
      </c>
      <c r="P2">
        <v>0.73385</v>
      </c>
    </row>
    <row r="3" spans="1:16" x14ac:dyDescent="0.25">
      <c r="A3" t="s">
        <v>1</v>
      </c>
      <c r="B3">
        <v>0.739654195011337</v>
      </c>
      <c r="C3">
        <v>0.81930000000000003</v>
      </c>
      <c r="D3" s="2">
        <v>0.85409999999999997</v>
      </c>
      <c r="E3">
        <v>0.65234999999999999</v>
      </c>
      <c r="F3">
        <v>0.64398999999999995</v>
      </c>
      <c r="G3">
        <v>0.61195999999999995</v>
      </c>
      <c r="H3">
        <v>0.60728000000000004</v>
      </c>
      <c r="I3">
        <v>0.58311999999999997</v>
      </c>
      <c r="J3">
        <v>0.55315000000000003</v>
      </c>
      <c r="K3">
        <v>0.52607999999999999</v>
      </c>
      <c r="L3">
        <v>0.66993000000000003</v>
      </c>
      <c r="M3">
        <v>0.58672999999999997</v>
      </c>
      <c r="N3">
        <v>0.60218000000000005</v>
      </c>
      <c r="O3">
        <v>0.59197999999999995</v>
      </c>
      <c r="P3">
        <v>0.64966000000000002</v>
      </c>
    </row>
    <row r="4" spans="1:16" x14ac:dyDescent="0.25">
      <c r="A4" t="s">
        <v>2</v>
      </c>
      <c r="B4">
        <v>0.84561538461538399</v>
      </c>
      <c r="C4">
        <v>0.65539999999999998</v>
      </c>
      <c r="D4" s="2">
        <v>0.72499999999999998</v>
      </c>
      <c r="E4">
        <v>0.81762000000000001</v>
      </c>
      <c r="F4">
        <v>0.72785</v>
      </c>
      <c r="G4">
        <v>0.78208</v>
      </c>
      <c r="H4">
        <v>0.76607999999999998</v>
      </c>
      <c r="I4">
        <v>0.78991999999999996</v>
      </c>
      <c r="J4">
        <v>0.84753999999999996</v>
      </c>
      <c r="K4">
        <v>0.78900000000000003</v>
      </c>
      <c r="L4">
        <v>0.316</v>
      </c>
      <c r="M4">
        <v>0.69191999999999998</v>
      </c>
      <c r="N4">
        <v>0.71584999999999999</v>
      </c>
      <c r="O4">
        <v>0.79884999999999995</v>
      </c>
      <c r="P4">
        <v>0.63968999999999998</v>
      </c>
    </row>
    <row r="5" spans="1:16" x14ac:dyDescent="0.25">
      <c r="A5" t="s">
        <v>3</v>
      </c>
      <c r="B5">
        <v>0.99248826291079795</v>
      </c>
      <c r="C5">
        <v>0.72529999999999994</v>
      </c>
      <c r="D5" s="2">
        <v>0.98670000000000002</v>
      </c>
      <c r="E5">
        <v>0.99717999999999996</v>
      </c>
      <c r="F5">
        <v>0.99717999999999996</v>
      </c>
      <c r="G5">
        <v>0.99670999999999998</v>
      </c>
      <c r="H5">
        <v>0.99390000000000001</v>
      </c>
      <c r="I5">
        <v>0.98028000000000004</v>
      </c>
      <c r="J5">
        <v>0.96526000000000001</v>
      </c>
      <c r="K5">
        <v>0.96736999999999995</v>
      </c>
      <c r="L5">
        <v>0.99483999999999995</v>
      </c>
      <c r="M5">
        <v>0.64788999999999997</v>
      </c>
      <c r="N5">
        <v>0.99717999999999996</v>
      </c>
      <c r="O5">
        <v>0.99390000000000001</v>
      </c>
      <c r="P5">
        <v>0.99436999999999998</v>
      </c>
    </row>
    <row r="6" spans="1:16" x14ac:dyDescent="0.25">
      <c r="A6" t="s">
        <v>4</v>
      </c>
      <c r="B6">
        <v>0.65074936765404301</v>
      </c>
      <c r="C6">
        <v>0.88929999999999998</v>
      </c>
      <c r="D6" s="2">
        <v>0.92220000000000002</v>
      </c>
      <c r="E6">
        <v>0.57347000000000004</v>
      </c>
      <c r="F6">
        <v>0.56618000000000002</v>
      </c>
      <c r="G6">
        <v>0.47383999999999998</v>
      </c>
      <c r="H6">
        <v>0.50119000000000002</v>
      </c>
      <c r="I6">
        <v>0.49658000000000002</v>
      </c>
      <c r="J6">
        <v>0.47960000000000003</v>
      </c>
      <c r="K6">
        <v>0.51910000000000001</v>
      </c>
      <c r="L6">
        <v>0.43720999999999999</v>
      </c>
      <c r="M6">
        <v>0.47666999999999998</v>
      </c>
      <c r="N6">
        <v>0.53641000000000005</v>
      </c>
      <c r="O6">
        <v>0.47381000000000001</v>
      </c>
      <c r="P6">
        <v>0.49945000000000001</v>
      </c>
    </row>
    <row r="7" spans="1:16" x14ac:dyDescent="0.25">
      <c r="A7" t="s">
        <v>5</v>
      </c>
      <c r="B7">
        <v>0.52937861068056902</v>
      </c>
      <c r="C7">
        <v>0.95530000000000004</v>
      </c>
      <c r="D7" s="2">
        <v>0.98599999999999999</v>
      </c>
      <c r="E7" s="3">
        <v>0.54090000000000005</v>
      </c>
      <c r="F7">
        <v>0.53190999999999999</v>
      </c>
      <c r="G7">
        <v>0.52542999999999995</v>
      </c>
      <c r="H7">
        <v>0.50183</v>
      </c>
      <c r="I7">
        <v>0.50183</v>
      </c>
      <c r="J7">
        <v>0.50344999999999995</v>
      </c>
      <c r="K7">
        <v>0.50726000000000004</v>
      </c>
      <c r="L7">
        <v>0.53417000000000003</v>
      </c>
      <c r="M7">
        <v>0.51853000000000005</v>
      </c>
      <c r="N7">
        <v>0.58291999999999999</v>
      </c>
      <c r="O7">
        <v>0.49569999999999997</v>
      </c>
      <c r="P7">
        <v>0.55686000000000002</v>
      </c>
    </row>
    <row r="8" spans="1:16" x14ac:dyDescent="0.25">
      <c r="A8" t="s">
        <v>6</v>
      </c>
      <c r="B8">
        <v>0.698888888888889</v>
      </c>
      <c r="C8">
        <v>0.99519999999999997</v>
      </c>
      <c r="D8" s="2">
        <v>0.99390000000000001</v>
      </c>
      <c r="E8">
        <v>0.68383000000000005</v>
      </c>
      <c r="F8">
        <v>0.66883000000000004</v>
      </c>
      <c r="G8">
        <v>0.65583000000000002</v>
      </c>
      <c r="H8">
        <v>0.56933</v>
      </c>
      <c r="I8">
        <v>0.56138999999999994</v>
      </c>
      <c r="J8">
        <v>0.56906000000000001</v>
      </c>
      <c r="K8">
        <v>0.60592000000000001</v>
      </c>
      <c r="L8">
        <v>0.75566999999999995</v>
      </c>
      <c r="M8">
        <v>0.55693999999999999</v>
      </c>
      <c r="N8">
        <v>0.72055999999999998</v>
      </c>
      <c r="O8">
        <v>0.55967</v>
      </c>
      <c r="P8">
        <v>0.71682999999999997</v>
      </c>
    </row>
    <row r="9" spans="1:16" x14ac:dyDescent="0.25">
      <c r="A9" t="s">
        <v>7</v>
      </c>
      <c r="B9">
        <v>0.87723577235772299</v>
      </c>
      <c r="C9">
        <v>0.8196</v>
      </c>
      <c r="D9" s="2">
        <v>0.93869999999999998</v>
      </c>
      <c r="E9">
        <v>0.87480000000000002</v>
      </c>
      <c r="F9">
        <v>0.88319999999999999</v>
      </c>
      <c r="G9">
        <v>0.86667000000000005</v>
      </c>
      <c r="H9">
        <v>0.86504000000000003</v>
      </c>
      <c r="I9">
        <v>0.83957000000000004</v>
      </c>
      <c r="J9">
        <v>0.77886</v>
      </c>
      <c r="K9">
        <v>0.72926999999999997</v>
      </c>
      <c r="L9">
        <v>0.85799000000000003</v>
      </c>
      <c r="M9">
        <v>0.74200999999999995</v>
      </c>
      <c r="N9">
        <v>0.90351999999999999</v>
      </c>
      <c r="O9">
        <v>0.80379</v>
      </c>
      <c r="P9">
        <v>0.89539000000000002</v>
      </c>
    </row>
    <row r="10" spans="1:16" x14ac:dyDescent="0.25">
      <c r="A10" t="s">
        <v>8</v>
      </c>
      <c r="B10">
        <v>0.785304247990815</v>
      </c>
      <c r="C10">
        <v>0.96850000000000003</v>
      </c>
      <c r="D10" s="2">
        <v>0.93610000000000004</v>
      </c>
      <c r="E10">
        <v>0.78588000000000002</v>
      </c>
      <c r="F10">
        <v>0.74856</v>
      </c>
      <c r="G10">
        <v>0.80367</v>
      </c>
      <c r="H10">
        <v>0.73823000000000005</v>
      </c>
      <c r="I10">
        <v>0.72331000000000001</v>
      </c>
      <c r="J10">
        <v>0.73823000000000005</v>
      </c>
      <c r="K10">
        <v>0.74970999999999999</v>
      </c>
      <c r="L10">
        <v>0.70952999999999999</v>
      </c>
      <c r="M10">
        <v>0.71182999999999996</v>
      </c>
      <c r="N10">
        <v>0.82892999999999994</v>
      </c>
      <c r="O10">
        <v>0.60275999999999996</v>
      </c>
      <c r="P10">
        <v>0.82721</v>
      </c>
    </row>
    <row r="11" spans="1:16" x14ac:dyDescent="0.25">
      <c r="A11" t="s">
        <v>9</v>
      </c>
      <c r="B11">
        <v>0.73526865671641695</v>
      </c>
      <c r="C11">
        <v>0.99199999999999999</v>
      </c>
      <c r="D11" s="2">
        <v>0.997</v>
      </c>
      <c r="E11">
        <v>0.73224</v>
      </c>
      <c r="F11">
        <v>0.72943999999999998</v>
      </c>
      <c r="G11">
        <v>0.68955</v>
      </c>
      <c r="H11">
        <v>0.62131000000000003</v>
      </c>
      <c r="I11">
        <v>0.60921999999999998</v>
      </c>
      <c r="J11">
        <v>0.57003999999999999</v>
      </c>
      <c r="K11">
        <v>0.63636999999999999</v>
      </c>
      <c r="L11">
        <v>0.76080999999999999</v>
      </c>
      <c r="M11">
        <v>0.55620999999999998</v>
      </c>
      <c r="N11">
        <v>0.72887999999999997</v>
      </c>
      <c r="O11">
        <v>0.61728000000000005</v>
      </c>
      <c r="P11">
        <v>0.70121</v>
      </c>
    </row>
    <row r="12" spans="1:16" x14ac:dyDescent="0.25">
      <c r="A12" t="s">
        <v>10</v>
      </c>
      <c r="B12">
        <v>0.98239490251827699</v>
      </c>
      <c r="C12">
        <v>0.97070000000000001</v>
      </c>
      <c r="D12" s="2">
        <v>0.97860000000000003</v>
      </c>
      <c r="E12" s="1">
        <v>0.99212</v>
      </c>
      <c r="F12">
        <v>0.99160000000000004</v>
      </c>
      <c r="G12">
        <v>0.96580999999999995</v>
      </c>
      <c r="H12">
        <v>0.96679999999999999</v>
      </c>
      <c r="I12">
        <v>0.96231</v>
      </c>
      <c r="J12">
        <v>0.75034000000000001</v>
      </c>
      <c r="K12">
        <v>0.96431999999999995</v>
      </c>
      <c r="L12">
        <v>0.97979000000000005</v>
      </c>
      <c r="M12">
        <v>0.82213999999999998</v>
      </c>
      <c r="N12">
        <v>0.97790999999999995</v>
      </c>
      <c r="O12">
        <v>0.95711999999999997</v>
      </c>
      <c r="P12">
        <v>0.96694999999999998</v>
      </c>
    </row>
    <row r="13" spans="1:16" x14ac:dyDescent="0.25">
      <c r="A13" t="s">
        <v>30</v>
      </c>
      <c r="B13">
        <f>AVERAGE(B2:B12)</f>
        <v>0.78172770812943915</v>
      </c>
      <c r="C13">
        <f>AVERAGE(C2:C12)</f>
        <v>0.88444545454545453</v>
      </c>
      <c r="D13" s="2">
        <f>AVERAGE(D2:D12)</f>
        <v>0.93570909090909093</v>
      </c>
      <c r="E13" s="2">
        <f>AVERAGE(E2:E12)</f>
        <v>0.76385363636363646</v>
      </c>
      <c r="F13">
        <f>AVERAGE(F2:F12)</f>
        <v>0.74898363636363641</v>
      </c>
      <c r="G13">
        <f t="shared" ref="G13:P13" si="0">AVERAGE(G2:G12)</f>
        <v>0.73779636363636358</v>
      </c>
      <c r="H13">
        <f t="shared" si="0"/>
        <v>0.71585272727272731</v>
      </c>
      <c r="I13">
        <f t="shared" si="0"/>
        <v>0.7080581818181817</v>
      </c>
      <c r="J13">
        <f t="shared" si="0"/>
        <v>0.68091363636363633</v>
      </c>
      <c r="K13">
        <f t="shared" si="0"/>
        <v>0.70191727272727278</v>
      </c>
      <c r="L13">
        <f t="shared" si="0"/>
        <v>0.70524545454545462</v>
      </c>
      <c r="M13">
        <f t="shared" si="0"/>
        <v>0.63380727272727266</v>
      </c>
      <c r="N13">
        <f t="shared" si="0"/>
        <v>0.75610909090909084</v>
      </c>
      <c r="O13">
        <f t="shared" si="0"/>
        <v>0.69330909090909087</v>
      </c>
      <c r="P13">
        <f t="shared" si="0"/>
        <v>0.74376999999999993</v>
      </c>
    </row>
    <row r="14" spans="1:16" x14ac:dyDescent="0.25">
      <c r="A14" t="s">
        <v>31</v>
      </c>
    </row>
    <row r="17" spans="1:2" x14ac:dyDescent="0.25">
      <c r="A17" t="s">
        <v>18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35</v>
      </c>
      <c r="B20" s="5">
        <v>2.0370831182289302</v>
      </c>
    </row>
    <row r="21" spans="1:2" x14ac:dyDescent="0.25">
      <c r="A21" t="s">
        <v>1</v>
      </c>
      <c r="B21" s="5">
        <v>3.1547216312678601</v>
      </c>
    </row>
    <row r="22" spans="1:2" x14ac:dyDescent="0.25">
      <c r="A22" t="s">
        <v>2</v>
      </c>
      <c r="B22" s="5">
        <v>9.8845764865245496</v>
      </c>
    </row>
    <row r="23" spans="1:2" x14ac:dyDescent="0.25">
      <c r="A23" t="s">
        <v>3</v>
      </c>
      <c r="B23" s="5">
        <v>3.5183738979013799</v>
      </c>
    </row>
    <row r="24" spans="1:2" x14ac:dyDescent="0.25">
      <c r="A24" t="s">
        <v>4</v>
      </c>
      <c r="B24" s="5">
        <v>3.2411972220237102</v>
      </c>
    </row>
    <row r="25" spans="1:2" x14ac:dyDescent="0.25">
      <c r="A25" t="s">
        <v>5</v>
      </c>
      <c r="B25" s="5">
        <v>1.8064453738353601</v>
      </c>
    </row>
    <row r="26" spans="1:2" x14ac:dyDescent="0.25">
      <c r="A26" t="s">
        <v>6</v>
      </c>
      <c r="B26" s="5">
        <v>0.81389733258028796</v>
      </c>
    </row>
    <row r="27" spans="1:2" x14ac:dyDescent="0.25">
      <c r="A27" t="s">
        <v>7</v>
      </c>
      <c r="B27" s="5">
        <v>2.7273997511512502</v>
      </c>
    </row>
    <row r="28" spans="1:2" x14ac:dyDescent="0.25">
      <c r="A28" t="s">
        <v>8</v>
      </c>
      <c r="B28" s="5">
        <v>0.39759268151465099</v>
      </c>
    </row>
    <row r="29" spans="1:2" x14ac:dyDescent="0.25">
      <c r="A29" t="s">
        <v>9</v>
      </c>
      <c r="B29" s="5">
        <v>1.26708352406697</v>
      </c>
    </row>
    <row r="30" spans="1:2" x14ac:dyDescent="0.25">
      <c r="A30" t="s">
        <v>10</v>
      </c>
      <c r="B30" s="5">
        <v>1.95101294625013</v>
      </c>
    </row>
    <row r="31" spans="1:2" x14ac:dyDescent="0.25">
      <c r="A31" t="s">
        <v>30</v>
      </c>
      <c r="B31" s="5">
        <f>AVERAGE(B20:B30)</f>
        <v>2.799943996849553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7C2C-7E75-4C4C-A5D6-03334A2710BD}">
  <dimension ref="A1:O45"/>
  <sheetViews>
    <sheetView tabSelected="1" workbookViewId="0">
      <selection activeCell="K16" sqref="K16"/>
    </sheetView>
  </sheetViews>
  <sheetFormatPr defaultRowHeight="15" x14ac:dyDescent="0.25"/>
  <cols>
    <col min="1" max="1" width="11.5703125" customWidth="1"/>
    <col min="2" max="2" width="18" customWidth="1"/>
    <col min="14" max="14" width="16.5703125" customWidth="1"/>
    <col min="15" max="15" width="18.28515625" customWidth="1"/>
  </cols>
  <sheetData>
    <row r="1" spans="1:15" x14ac:dyDescent="0.25">
      <c r="A1" s="4"/>
      <c r="B1" s="7" t="s">
        <v>33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 t="s">
        <v>34</v>
      </c>
      <c r="O1" s="7"/>
    </row>
    <row r="2" spans="1:15" ht="17.25" x14ac:dyDescent="0.25">
      <c r="A2" s="4" t="s">
        <v>11</v>
      </c>
      <c r="B2" s="4" t="s">
        <v>13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15</v>
      </c>
      <c r="H2" s="4" t="s">
        <v>26</v>
      </c>
      <c r="I2" s="4" t="s">
        <v>14</v>
      </c>
      <c r="J2" s="4" t="s">
        <v>27</v>
      </c>
      <c r="K2" s="4" t="s">
        <v>16</v>
      </c>
      <c r="L2" s="4" t="s">
        <v>28</v>
      </c>
      <c r="M2" s="4" t="s">
        <v>29</v>
      </c>
      <c r="N2" s="4" t="s">
        <v>37</v>
      </c>
      <c r="O2" s="4" t="s">
        <v>32</v>
      </c>
    </row>
    <row r="3" spans="1:15" x14ac:dyDescent="0.25">
      <c r="A3" t="s">
        <v>35</v>
      </c>
      <c r="B3" s="1">
        <v>0.752</v>
      </c>
      <c r="C3" s="2">
        <v>0.75007999999999997</v>
      </c>
      <c r="D3" s="2">
        <v>0.74421000000000004</v>
      </c>
      <c r="E3" s="2">
        <v>0.74339</v>
      </c>
      <c r="F3" s="2">
        <v>0.74111000000000005</v>
      </c>
      <c r="G3" s="2">
        <v>0.73451999999999995</v>
      </c>
      <c r="H3" s="2">
        <v>0.72668999999999995</v>
      </c>
      <c r="I3" s="2">
        <v>0.74175999999999997</v>
      </c>
      <c r="J3" s="2">
        <v>0.66100999999999999</v>
      </c>
      <c r="K3" s="2">
        <v>0.72285999999999995</v>
      </c>
      <c r="L3" s="2">
        <v>0.73153999999999997</v>
      </c>
      <c r="M3" s="2">
        <v>0.73385</v>
      </c>
      <c r="N3" s="2">
        <v>0.76108148973420298</v>
      </c>
      <c r="O3" s="2">
        <v>0.97450000000000003</v>
      </c>
    </row>
    <row r="4" spans="1:15" x14ac:dyDescent="0.25">
      <c r="A4" t="s">
        <v>1</v>
      </c>
      <c r="B4" s="2">
        <v>0.65234999999999999</v>
      </c>
      <c r="C4" s="2">
        <v>0.64398999999999995</v>
      </c>
      <c r="D4" s="2">
        <v>0.61195999999999995</v>
      </c>
      <c r="E4" s="2">
        <v>0.60728000000000004</v>
      </c>
      <c r="F4" s="2">
        <v>0.58311999999999997</v>
      </c>
      <c r="G4" s="2">
        <v>0.55315000000000003</v>
      </c>
      <c r="H4" s="2">
        <v>0.52607999999999999</v>
      </c>
      <c r="I4" s="2">
        <v>0.66993000000000003</v>
      </c>
      <c r="J4" s="2">
        <v>0.58672999999999997</v>
      </c>
      <c r="K4" s="2">
        <v>0.60218000000000005</v>
      </c>
      <c r="L4" s="2">
        <v>0.59197999999999995</v>
      </c>
      <c r="M4" s="2">
        <v>0.64966000000000002</v>
      </c>
      <c r="N4" s="2">
        <v>0.73816609977324199</v>
      </c>
      <c r="O4" s="2">
        <v>0.85409999999999997</v>
      </c>
    </row>
    <row r="5" spans="1:15" x14ac:dyDescent="0.25">
      <c r="A5" t="s">
        <v>2</v>
      </c>
      <c r="B5" s="2">
        <v>0.81762000000000001</v>
      </c>
      <c r="C5" s="2">
        <v>0.72785</v>
      </c>
      <c r="D5" s="2">
        <v>0.78208</v>
      </c>
      <c r="E5" s="2">
        <v>0.76607999999999998</v>
      </c>
      <c r="F5" s="2">
        <v>0.78991999999999996</v>
      </c>
      <c r="G5" s="2">
        <v>0.84753999999999996</v>
      </c>
      <c r="H5" s="2">
        <v>0.78900000000000003</v>
      </c>
      <c r="I5" s="2">
        <v>0.316</v>
      </c>
      <c r="J5" s="2">
        <v>0.69191999999999998</v>
      </c>
      <c r="K5" s="2">
        <v>0.71584999999999999</v>
      </c>
      <c r="L5" s="2">
        <v>0.79884999999999995</v>
      </c>
      <c r="M5" s="2">
        <v>0.63968999999999998</v>
      </c>
      <c r="N5" s="2">
        <v>0.82015384615384601</v>
      </c>
      <c r="O5" s="2">
        <v>0.72499999999999998</v>
      </c>
    </row>
    <row r="6" spans="1:15" x14ac:dyDescent="0.25">
      <c r="A6" t="s">
        <v>3</v>
      </c>
      <c r="B6" s="2">
        <v>0.99717999999999996</v>
      </c>
      <c r="C6" s="2">
        <v>0.99717999999999996</v>
      </c>
      <c r="D6" s="2">
        <v>0.99670999999999998</v>
      </c>
      <c r="E6" s="2">
        <v>0.99390000000000001</v>
      </c>
      <c r="F6" s="2">
        <v>0.98028000000000004</v>
      </c>
      <c r="G6" s="2">
        <v>0.96526000000000001</v>
      </c>
      <c r="H6" s="2">
        <v>0.96736999999999995</v>
      </c>
      <c r="I6" s="2">
        <v>0.99483999999999995</v>
      </c>
      <c r="J6" s="2">
        <v>0.64788999999999997</v>
      </c>
      <c r="K6" s="2">
        <v>0.99717999999999996</v>
      </c>
      <c r="L6" s="2">
        <v>0.99390000000000001</v>
      </c>
      <c r="M6" s="2">
        <v>0.99436999999999998</v>
      </c>
      <c r="N6" s="2">
        <v>0.99859154929577398</v>
      </c>
      <c r="O6" s="2">
        <v>0.98670000000000002</v>
      </c>
    </row>
    <row r="7" spans="1:15" x14ac:dyDescent="0.25">
      <c r="A7" t="s">
        <v>4</v>
      </c>
      <c r="B7" s="2">
        <v>0.57347000000000004</v>
      </c>
      <c r="C7" s="2">
        <v>0.56618000000000002</v>
      </c>
      <c r="D7" s="2">
        <v>0.47383999999999998</v>
      </c>
      <c r="E7" s="2">
        <v>0.50119000000000002</v>
      </c>
      <c r="F7" s="2">
        <v>0.49658000000000002</v>
      </c>
      <c r="G7" s="2">
        <v>0.47960000000000003</v>
      </c>
      <c r="H7" s="2">
        <v>0.51910000000000001</v>
      </c>
      <c r="I7" s="2">
        <v>0.43720999999999999</v>
      </c>
      <c r="J7" s="2">
        <v>0.47666999999999998</v>
      </c>
      <c r="K7" s="2">
        <v>0.53641000000000005</v>
      </c>
      <c r="L7" s="2">
        <v>0.47381000000000001</v>
      </c>
      <c r="M7" s="2">
        <v>0.49945000000000001</v>
      </c>
      <c r="N7" s="2">
        <v>0.65000947105344398</v>
      </c>
      <c r="O7" s="2">
        <v>0.92220000000000002</v>
      </c>
    </row>
    <row r="8" spans="1:15" x14ac:dyDescent="0.25">
      <c r="A8" t="s">
        <v>5</v>
      </c>
      <c r="B8" s="2">
        <v>0.54090000000000005</v>
      </c>
      <c r="C8" s="2">
        <v>0.53190999999999999</v>
      </c>
      <c r="D8" s="2">
        <v>0.52542999999999995</v>
      </c>
      <c r="E8" s="2">
        <v>0.50183</v>
      </c>
      <c r="F8" s="2">
        <v>0.50183</v>
      </c>
      <c r="G8" s="2">
        <v>0.50344999999999995</v>
      </c>
      <c r="H8" s="2">
        <v>0.50726000000000004</v>
      </c>
      <c r="I8" s="2">
        <v>0.53417000000000003</v>
      </c>
      <c r="J8" s="2">
        <v>0.51853000000000005</v>
      </c>
      <c r="K8" s="2">
        <v>0.58291999999999999</v>
      </c>
      <c r="L8" s="2">
        <v>0.49569999999999997</v>
      </c>
      <c r="M8" s="2">
        <v>0.55686000000000002</v>
      </c>
      <c r="N8" s="2">
        <v>0.53156263209806898</v>
      </c>
      <c r="O8" s="2">
        <v>0.98599999999999999</v>
      </c>
    </row>
    <row r="9" spans="1:15" x14ac:dyDescent="0.25">
      <c r="A9" t="s">
        <v>6</v>
      </c>
      <c r="B9" s="2">
        <v>0.68383000000000005</v>
      </c>
      <c r="C9" s="2">
        <v>0.66883000000000004</v>
      </c>
      <c r="D9" s="2">
        <v>0.65583000000000002</v>
      </c>
      <c r="E9" s="2">
        <v>0.56933</v>
      </c>
      <c r="F9" s="2">
        <v>0.56138999999999994</v>
      </c>
      <c r="G9" s="2">
        <v>0.56906000000000001</v>
      </c>
      <c r="H9" s="2">
        <v>0.60592000000000001</v>
      </c>
      <c r="I9" s="2">
        <v>0.75566999999999995</v>
      </c>
      <c r="J9" s="2">
        <v>0.55693999999999999</v>
      </c>
      <c r="K9" s="2">
        <v>0.72055999999999998</v>
      </c>
      <c r="L9" s="2">
        <v>0.55967</v>
      </c>
      <c r="M9" s="2">
        <v>0.71682999999999997</v>
      </c>
      <c r="N9" s="2">
        <v>0.70016666666666605</v>
      </c>
      <c r="O9" s="2">
        <v>0.99390000000000001</v>
      </c>
    </row>
    <row r="10" spans="1:15" x14ac:dyDescent="0.25">
      <c r="A10" t="s">
        <v>7</v>
      </c>
      <c r="B10" s="2">
        <v>0.87480000000000002</v>
      </c>
      <c r="C10" s="2">
        <v>0.88319999999999999</v>
      </c>
      <c r="D10" s="2">
        <v>0.86667000000000005</v>
      </c>
      <c r="E10" s="2">
        <v>0.86504000000000003</v>
      </c>
      <c r="F10" s="2">
        <v>0.83957000000000004</v>
      </c>
      <c r="G10" s="2">
        <v>0.77886</v>
      </c>
      <c r="H10" s="2">
        <v>0.72926999999999997</v>
      </c>
      <c r="I10" s="2">
        <v>0.85799000000000003</v>
      </c>
      <c r="J10" s="2">
        <v>0.74200999999999995</v>
      </c>
      <c r="K10" s="2">
        <v>0.90351999999999999</v>
      </c>
      <c r="L10" s="2">
        <v>0.80379</v>
      </c>
      <c r="M10" s="2">
        <v>0.89539000000000002</v>
      </c>
      <c r="N10" s="2">
        <v>0.88048780487804801</v>
      </c>
      <c r="O10" s="2">
        <v>0.93869999999999998</v>
      </c>
    </row>
    <row r="11" spans="1:15" x14ac:dyDescent="0.25">
      <c r="A11" t="s">
        <v>38</v>
      </c>
      <c r="B11" s="2">
        <v>0.78588000000000002</v>
      </c>
      <c r="C11" s="2">
        <v>0.74856</v>
      </c>
      <c r="D11" s="2">
        <v>0.80367</v>
      </c>
      <c r="E11" s="2">
        <v>0.73823000000000005</v>
      </c>
      <c r="F11" s="2">
        <v>0.72331000000000001</v>
      </c>
      <c r="G11" s="2">
        <v>0.73823000000000005</v>
      </c>
      <c r="H11" s="2">
        <v>0.74970999999999999</v>
      </c>
      <c r="I11" s="2">
        <v>0.70952999999999999</v>
      </c>
      <c r="J11" s="2">
        <v>0.71182999999999996</v>
      </c>
      <c r="K11" s="2">
        <v>0.82892999999999994</v>
      </c>
      <c r="L11" s="2">
        <v>0.60275999999999996</v>
      </c>
      <c r="M11" s="2">
        <v>0.82721</v>
      </c>
      <c r="N11" s="2">
        <v>0.78473019517795595</v>
      </c>
      <c r="O11" s="2">
        <v>0.93610000000000004</v>
      </c>
    </row>
    <row r="12" spans="1:15" x14ac:dyDescent="0.25">
      <c r="A12" t="s">
        <v>9</v>
      </c>
      <c r="B12" s="2">
        <v>0.73224</v>
      </c>
      <c r="C12" s="2">
        <v>0.72943999999999998</v>
      </c>
      <c r="D12" s="2">
        <v>0.68955</v>
      </c>
      <c r="E12" s="2">
        <v>0.62131000000000003</v>
      </c>
      <c r="F12" s="2">
        <v>0.60921999999999998</v>
      </c>
      <c r="G12" s="2">
        <v>0.57003999999999999</v>
      </c>
      <c r="H12" s="2">
        <v>0.63636999999999999</v>
      </c>
      <c r="I12" s="2">
        <v>0.76080999999999999</v>
      </c>
      <c r="J12" s="2">
        <v>0.55620999999999998</v>
      </c>
      <c r="K12" s="2">
        <v>0.72887999999999997</v>
      </c>
      <c r="L12" s="2">
        <v>0.61728000000000005</v>
      </c>
      <c r="M12" s="2">
        <v>0.70121</v>
      </c>
      <c r="N12" s="2">
        <v>0.73591417910447698</v>
      </c>
      <c r="O12" s="2">
        <v>0.997</v>
      </c>
    </row>
    <row r="13" spans="1:15" x14ac:dyDescent="0.25">
      <c r="A13" t="s">
        <v>10</v>
      </c>
      <c r="B13" s="1">
        <v>0.99212</v>
      </c>
      <c r="C13" s="2">
        <v>0.99160000000000004</v>
      </c>
      <c r="D13" s="2">
        <v>0.96580999999999995</v>
      </c>
      <c r="E13" s="2">
        <v>0.96679999999999999</v>
      </c>
      <c r="F13" s="2">
        <v>0.96231</v>
      </c>
      <c r="G13" s="2">
        <v>0.75034000000000001</v>
      </c>
      <c r="H13" s="2">
        <v>0.96431999999999995</v>
      </c>
      <c r="I13" s="2">
        <v>0.97979000000000005</v>
      </c>
      <c r="J13" s="2">
        <v>0.82213999999999998</v>
      </c>
      <c r="K13" s="2">
        <v>0.97790999999999995</v>
      </c>
      <c r="L13" s="2">
        <v>0.95711999999999997</v>
      </c>
      <c r="M13" s="2">
        <v>0.96694999999999998</v>
      </c>
      <c r="N13" s="2">
        <v>0.98260560519902496</v>
      </c>
      <c r="O13" s="2">
        <v>0.97860000000000003</v>
      </c>
    </row>
    <row r="14" spans="1:15" x14ac:dyDescent="0.25">
      <c r="A14" t="s">
        <v>30</v>
      </c>
      <c r="B14" s="2">
        <f>AVERAGE(B3:B13)</f>
        <v>0.76385363636363646</v>
      </c>
      <c r="C14" s="2">
        <f t="shared" ref="C14:M14" si="0">AVERAGE(C3:C13)</f>
        <v>0.74898363636363641</v>
      </c>
      <c r="D14" s="2">
        <f t="shared" si="0"/>
        <v>0.73779636363636358</v>
      </c>
      <c r="E14" s="2">
        <f t="shared" si="0"/>
        <v>0.71585272727272731</v>
      </c>
      <c r="F14" s="2">
        <f t="shared" si="0"/>
        <v>0.7080581818181817</v>
      </c>
      <c r="G14" s="2">
        <f t="shared" si="0"/>
        <v>0.68091363636363633</v>
      </c>
      <c r="H14" s="2">
        <f t="shared" si="0"/>
        <v>0.70191727272727278</v>
      </c>
      <c r="I14" s="2">
        <f t="shared" si="0"/>
        <v>0.70524545454545462</v>
      </c>
      <c r="J14" s="2">
        <f t="shared" si="0"/>
        <v>0.63380727272727266</v>
      </c>
      <c r="K14" s="2">
        <f t="shared" si="0"/>
        <v>0.75610909090909084</v>
      </c>
      <c r="L14" s="2">
        <f t="shared" si="0"/>
        <v>0.69330909090909087</v>
      </c>
      <c r="M14" s="2">
        <f t="shared" si="0"/>
        <v>0.74376999999999993</v>
      </c>
      <c r="N14" s="2">
        <f>AVERAGE(N3:N13)</f>
        <v>0.7803154126486137</v>
      </c>
      <c r="O14" s="2">
        <f>AVERAGE(O3:O13)</f>
        <v>0.93570909090909093</v>
      </c>
    </row>
    <row r="18" spans="2:14" x14ac:dyDescent="0.25">
      <c r="B18" t="str">
        <f>_xlfn.CONCAT("[",_xlfn.TEXTJOIN(",",TRUE,B3:N3),"]")</f>
        <v>[0.752,0.75008,0.74421,0.74339,0.74111,0.73452,0.72669,0.74176,0.66101,0.72286,0.73154,0.73385,0.761081489734203]</v>
      </c>
      <c r="M18" t="str">
        <f>_xlfn.TEXTJOIN("','",TRUE,A3:A13)</f>
        <v>Arrhythmia','Parkinson','Shuttle','WBC','SpamBase','WPBC','HeartDisease','Glass','Hepatitis','Pima','PenDigits</v>
      </c>
    </row>
    <row r="19" spans="2:14" x14ac:dyDescent="0.25">
      <c r="B19" t="str">
        <f t="shared" ref="B19:B28" si="1">_xlfn.CONCAT("[",_xlfn.TEXTJOIN(",",TRUE,B4:N4),"]")</f>
        <v>[0.65235,0.64399,0.61196,0.60728,0.58312,0.55315,0.52608,0.66993,0.58673,0.60218,0.59198,0.64966,0.738166099773242]</v>
      </c>
    </row>
    <row r="20" spans="2:14" x14ac:dyDescent="0.25">
      <c r="B20" t="str">
        <f t="shared" si="1"/>
        <v>[0.81762,0.72785,0.78208,0.76608,0.78992,0.84754,0.789,0.316,0.69192,0.71585,0.79885,0.63969,0.820153846153846]</v>
      </c>
    </row>
    <row r="21" spans="2:14" x14ac:dyDescent="0.25">
      <c r="B21" t="str">
        <f t="shared" si="1"/>
        <v>[0.99718,0.99718,0.99671,0.9939,0.98028,0.96526,0.96737,0.99484,0.64789,0.99718,0.9939,0.99437,0.998591549295774]</v>
      </c>
    </row>
    <row r="22" spans="2:14" x14ac:dyDescent="0.25">
      <c r="B22" t="str">
        <f t="shared" si="1"/>
        <v>[0.57347,0.56618,0.47384,0.50119,0.49658,0.4796,0.5191,0.43721,0.47667,0.53641,0.47381,0.49945,0.650009471053444]</v>
      </c>
    </row>
    <row r="23" spans="2:14" x14ac:dyDescent="0.25">
      <c r="B23" t="str">
        <f t="shared" si="1"/>
        <v>[0.5409,0.53191,0.52543,0.50183,0.50183,0.50345,0.50726,0.53417,0.51853,0.58292,0.4957,0.55686,0.531562632098069]</v>
      </c>
    </row>
    <row r="24" spans="2:14" x14ac:dyDescent="0.25">
      <c r="B24" t="str">
        <f t="shared" si="1"/>
        <v>[0.68383,0.66883,0.65583,0.56933,0.56139,0.56906,0.60592,0.75567,0.55694,0.72056,0.55967,0.71683,0.700166666666666]</v>
      </c>
      <c r="N24" s="6">
        <f>N8-K8</f>
        <v>-5.1357367901931017E-2</v>
      </c>
    </row>
    <row r="25" spans="2:14" x14ac:dyDescent="0.25">
      <c r="B25" t="str">
        <f t="shared" si="1"/>
        <v>[0.8748,0.8832,0.86667,0.86504,0.83957,0.77886,0.72927,0.85799,0.74201,0.90352,0.80379,0.89539,0.880487804878048]</v>
      </c>
    </row>
    <row r="26" spans="2:14" x14ac:dyDescent="0.25">
      <c r="B26" t="str">
        <f t="shared" si="1"/>
        <v>[0.78588,0.74856,0.80367,0.73823,0.72331,0.73823,0.74971,0.70953,0.71183,0.82893,0.60276,0.82721,0.784730195177956]</v>
      </c>
    </row>
    <row r="27" spans="2:14" x14ac:dyDescent="0.25">
      <c r="B27" t="str">
        <f t="shared" si="1"/>
        <v>[0.73224,0.72944,0.68955,0.62131,0.60922,0.57004,0.63637,0.76081,0.55621,0.72888,0.61728,0.70121,0.735914179104477]</v>
      </c>
    </row>
    <row r="28" spans="2:14" x14ac:dyDescent="0.25">
      <c r="B28" t="str">
        <f t="shared" si="1"/>
        <v>[0.99212,0.9916,0.96581,0.9668,0.96231,0.75034,0.96432,0.97979,0.82214,0.97791,0.95712,0.96695,0.982605605199025]</v>
      </c>
    </row>
    <row r="31" spans="2:14" x14ac:dyDescent="0.25">
      <c r="B31" t="str">
        <f>_xlfn.TEXTJOIN("','",TRUE,B2:N2)</f>
        <v>KNN','KNNW','LOF','SimplifiedLOF','LoOP','LDOF','ODIN','FastABOD','KDEOS','LDF','INFLO','COF','Gamma ROC AUC</v>
      </c>
    </row>
    <row r="33" spans="1:2" ht="17.25" x14ac:dyDescent="0.25">
      <c r="A33" s="4" t="s">
        <v>11</v>
      </c>
      <c r="B33" s="4" t="s">
        <v>32</v>
      </c>
    </row>
    <row r="34" spans="1:2" x14ac:dyDescent="0.25">
      <c r="A34" t="s">
        <v>35</v>
      </c>
      <c r="B34" s="2">
        <v>0.97450000000000003</v>
      </c>
    </row>
    <row r="35" spans="1:2" x14ac:dyDescent="0.25">
      <c r="A35" t="s">
        <v>1</v>
      </c>
      <c r="B35" s="2">
        <v>0.85409999999999997</v>
      </c>
    </row>
    <row r="36" spans="1:2" x14ac:dyDescent="0.25">
      <c r="A36" t="s">
        <v>2</v>
      </c>
      <c r="B36" s="2">
        <v>0.72499999999999998</v>
      </c>
    </row>
    <row r="37" spans="1:2" x14ac:dyDescent="0.25">
      <c r="A37" t="s">
        <v>3</v>
      </c>
      <c r="B37" s="2">
        <v>0.98670000000000002</v>
      </c>
    </row>
    <row r="38" spans="1:2" x14ac:dyDescent="0.25">
      <c r="A38" t="s">
        <v>4</v>
      </c>
      <c r="B38" s="2">
        <v>0.92220000000000002</v>
      </c>
    </row>
    <row r="39" spans="1:2" x14ac:dyDescent="0.25">
      <c r="A39" t="s">
        <v>5</v>
      </c>
      <c r="B39" s="2">
        <v>0.98599999999999999</v>
      </c>
    </row>
    <row r="40" spans="1:2" x14ac:dyDescent="0.25">
      <c r="A40" t="s">
        <v>6</v>
      </c>
      <c r="B40" s="2">
        <v>0.99390000000000001</v>
      </c>
    </row>
    <row r="41" spans="1:2" x14ac:dyDescent="0.25">
      <c r="A41" t="s">
        <v>7</v>
      </c>
      <c r="B41" s="2">
        <v>0.93869999999999998</v>
      </c>
    </row>
    <row r="42" spans="1:2" x14ac:dyDescent="0.25">
      <c r="A42" t="s">
        <v>8</v>
      </c>
      <c r="B42" s="2">
        <v>0.93610000000000004</v>
      </c>
    </row>
    <row r="43" spans="1:2" x14ac:dyDescent="0.25">
      <c r="A43" t="s">
        <v>9</v>
      </c>
      <c r="B43" s="2">
        <v>0.997</v>
      </c>
    </row>
    <row r="44" spans="1:2" x14ac:dyDescent="0.25">
      <c r="A44" t="s">
        <v>10</v>
      </c>
      <c r="B44" s="2">
        <v>0.97860000000000003</v>
      </c>
    </row>
    <row r="45" spans="1:2" x14ac:dyDescent="0.25">
      <c r="A45" t="s">
        <v>30</v>
      </c>
      <c r="B45" s="2">
        <f>AVERAGE(B34:B44)</f>
        <v>0.93570909090909093</v>
      </c>
    </row>
  </sheetData>
  <mergeCells count="2">
    <mergeCell ref="B1:M1"/>
    <mergeCell ref="N1:O1"/>
  </mergeCells>
  <conditionalFormatting sqref="B1:N32 C33:N45 B46:N1048576">
    <cfRule type="expression" dxfId="1" priority="2">
      <formula>B1=MAX($B1:$N1)</formula>
    </cfRule>
  </conditionalFormatting>
  <conditionalFormatting sqref="G5">
    <cfRule type="expression" dxfId="0" priority="1">
      <formula>B3=MAX($B3:$N3)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012A-D937-47C4-8AC9-6A6E5FDF72BE}">
  <dimension ref="A1:D42"/>
  <sheetViews>
    <sheetView topLeftCell="A13" workbookViewId="0">
      <selection activeCell="G22" sqref="G22"/>
    </sheetView>
  </sheetViews>
  <sheetFormatPr defaultRowHeight="15" x14ac:dyDescent="0.25"/>
  <sheetData>
    <row r="1" spans="1:4" x14ac:dyDescent="0.25">
      <c r="A1" t="s">
        <v>20</v>
      </c>
      <c r="B1" t="s">
        <v>21</v>
      </c>
    </row>
    <row r="2" spans="1:4" x14ac:dyDescent="0.25">
      <c r="A2" t="s">
        <v>13</v>
      </c>
      <c r="B2">
        <v>0.74761</v>
      </c>
    </row>
    <row r="3" spans="1:4" x14ac:dyDescent="0.25">
      <c r="A3" t="s">
        <v>13</v>
      </c>
      <c r="B3">
        <v>0.75158000000000003</v>
      </c>
    </row>
    <row r="4" spans="1:4" x14ac:dyDescent="0.25">
      <c r="A4" t="s">
        <v>13</v>
      </c>
      <c r="B4">
        <v>0.75205</v>
      </c>
      <c r="D4">
        <f>MAX(B2:B5)</f>
        <v>0.75205</v>
      </c>
    </row>
    <row r="5" spans="1:4" x14ac:dyDescent="0.25">
      <c r="A5" t="s">
        <v>13</v>
      </c>
      <c r="B5">
        <v>0.74997999999999998</v>
      </c>
    </row>
    <row r="6" spans="1:4" x14ac:dyDescent="0.25">
      <c r="A6" t="s">
        <v>22</v>
      </c>
      <c r="B6">
        <v>0.74456999999999995</v>
      </c>
    </row>
    <row r="7" spans="1:4" x14ac:dyDescent="0.25">
      <c r="A7" t="s">
        <v>22</v>
      </c>
      <c r="B7">
        <v>0.74836999999999998</v>
      </c>
    </row>
    <row r="8" spans="1:4" x14ac:dyDescent="0.25">
      <c r="A8" t="s">
        <v>22</v>
      </c>
      <c r="B8">
        <v>0.75007999999999997</v>
      </c>
      <c r="D8">
        <f>MAX(B6:B9)</f>
        <v>0.75007999999999997</v>
      </c>
    </row>
    <row r="9" spans="1:4" x14ac:dyDescent="0.25">
      <c r="A9" t="s">
        <v>22</v>
      </c>
      <c r="B9">
        <v>0.75007999999999997</v>
      </c>
    </row>
    <row r="10" spans="1:4" x14ac:dyDescent="0.25">
      <c r="A10" t="s">
        <v>23</v>
      </c>
      <c r="B10">
        <v>0.71584000000000003</v>
      </c>
    </row>
    <row r="11" spans="1:4" x14ac:dyDescent="0.25">
      <c r="A11" t="s">
        <v>23</v>
      </c>
      <c r="B11">
        <v>0.72428000000000003</v>
      </c>
    </row>
    <row r="12" spans="1:4" x14ac:dyDescent="0.25">
      <c r="A12" t="s">
        <v>23</v>
      </c>
      <c r="B12">
        <v>0.74421000000000004</v>
      </c>
      <c r="D12">
        <f>MAX(B10:B13)</f>
        <v>0.74421000000000004</v>
      </c>
    </row>
    <row r="13" spans="1:4" x14ac:dyDescent="0.25">
      <c r="A13" t="s">
        <v>23</v>
      </c>
      <c r="B13">
        <v>0.74414999999999998</v>
      </c>
    </row>
    <row r="14" spans="1:4" x14ac:dyDescent="0.25">
      <c r="A14" t="s">
        <v>24</v>
      </c>
      <c r="B14">
        <v>0.71930000000000005</v>
      </c>
    </row>
    <row r="15" spans="1:4" x14ac:dyDescent="0.25">
      <c r="A15" t="s">
        <v>24</v>
      </c>
      <c r="B15">
        <v>0.73812</v>
      </c>
    </row>
    <row r="16" spans="1:4" x14ac:dyDescent="0.25">
      <c r="A16" t="s">
        <v>24</v>
      </c>
      <c r="B16">
        <v>0.74339</v>
      </c>
      <c r="D16">
        <f>MAX(B14:B17)</f>
        <v>0.74339</v>
      </c>
    </row>
    <row r="17" spans="1:4" x14ac:dyDescent="0.25">
      <c r="A17" t="s">
        <v>24</v>
      </c>
      <c r="B17">
        <v>0.74319999999999997</v>
      </c>
    </row>
    <row r="18" spans="1:4" x14ac:dyDescent="0.25">
      <c r="A18" t="s">
        <v>25</v>
      </c>
      <c r="B18">
        <v>0.71847000000000005</v>
      </c>
    </row>
    <row r="19" spans="1:4" x14ac:dyDescent="0.25">
      <c r="A19" t="s">
        <v>25</v>
      </c>
      <c r="B19">
        <v>0.73836000000000002</v>
      </c>
    </row>
    <row r="20" spans="1:4" x14ac:dyDescent="0.25">
      <c r="A20" t="s">
        <v>25</v>
      </c>
      <c r="B20">
        <v>0.74111000000000005</v>
      </c>
      <c r="D20">
        <f>MAX(B18:B21)</f>
        <v>0.74111000000000005</v>
      </c>
    </row>
    <row r="21" spans="1:4" x14ac:dyDescent="0.25">
      <c r="A21" t="s">
        <v>25</v>
      </c>
      <c r="B21">
        <v>0.74097000000000002</v>
      </c>
    </row>
    <row r="22" spans="1:4" x14ac:dyDescent="0.25">
      <c r="A22" t="s">
        <v>15</v>
      </c>
      <c r="B22">
        <v>0.71986000000000006</v>
      </c>
    </row>
    <row r="23" spans="1:4" x14ac:dyDescent="0.25">
      <c r="A23" t="s">
        <v>15</v>
      </c>
      <c r="B23">
        <v>0.71870999999999996</v>
      </c>
      <c r="D23">
        <f>MAX(B22:B24)</f>
        <v>0.73451999999999995</v>
      </c>
    </row>
    <row r="24" spans="1:4" x14ac:dyDescent="0.25">
      <c r="A24" t="s">
        <v>15</v>
      </c>
      <c r="B24">
        <v>0.73451999999999995</v>
      </c>
    </row>
    <row r="25" spans="1:4" x14ac:dyDescent="0.25">
      <c r="A25" t="s">
        <v>26</v>
      </c>
      <c r="B25">
        <v>0.71862999999999999</v>
      </c>
      <c r="D25">
        <f>MAX(B25:B27)</f>
        <v>0.72668999999999995</v>
      </c>
    </row>
    <row r="26" spans="1:4" x14ac:dyDescent="0.25">
      <c r="A26" t="s">
        <v>26</v>
      </c>
      <c r="B26">
        <v>0.72275999999999996</v>
      </c>
    </row>
    <row r="27" spans="1:4" x14ac:dyDescent="0.25">
      <c r="A27" t="s">
        <v>26</v>
      </c>
      <c r="B27">
        <v>0.72668999999999995</v>
      </c>
    </row>
    <row r="28" spans="1:4" x14ac:dyDescent="0.25">
      <c r="A28" t="s">
        <v>14</v>
      </c>
      <c r="B28">
        <v>0.73404000000000003</v>
      </c>
      <c r="D28">
        <f>MAX(B28:B29)</f>
        <v>0.74175999999999997</v>
      </c>
    </row>
    <row r="29" spans="1:4" x14ac:dyDescent="0.25">
      <c r="A29" t="s">
        <v>14</v>
      </c>
      <c r="B29">
        <v>0.74175999999999997</v>
      </c>
    </row>
    <row r="30" spans="1:4" x14ac:dyDescent="0.25">
      <c r="A30" t="s">
        <v>27</v>
      </c>
      <c r="B30">
        <v>0.65053000000000005</v>
      </c>
      <c r="D30">
        <f>MAX(B30:B31)</f>
        <v>0.66100999999999999</v>
      </c>
    </row>
    <row r="31" spans="1:4" x14ac:dyDescent="0.25">
      <c r="A31" t="s">
        <v>27</v>
      </c>
      <c r="B31">
        <v>0.66100999999999999</v>
      </c>
    </row>
    <row r="32" spans="1:4" x14ac:dyDescent="0.25">
      <c r="A32" t="s">
        <v>16</v>
      </c>
      <c r="B32">
        <v>0.71103000000000005</v>
      </c>
    </row>
    <row r="33" spans="1:4" x14ac:dyDescent="0.25">
      <c r="A33" t="s">
        <v>16</v>
      </c>
      <c r="B33">
        <v>0.70535999999999999</v>
      </c>
      <c r="D33">
        <f>MAX(B32:B35)</f>
        <v>0.72285999999999995</v>
      </c>
    </row>
    <row r="34" spans="1:4" x14ac:dyDescent="0.25">
      <c r="A34" t="s">
        <v>16</v>
      </c>
      <c r="B34">
        <v>0.72285999999999995</v>
      </c>
    </row>
    <row r="35" spans="1:4" x14ac:dyDescent="0.25">
      <c r="A35" t="s">
        <v>16</v>
      </c>
      <c r="B35">
        <v>0.70821999999999996</v>
      </c>
    </row>
    <row r="36" spans="1:4" x14ac:dyDescent="0.25">
      <c r="A36" t="s">
        <v>28</v>
      </c>
      <c r="B36">
        <v>0.73038000000000003</v>
      </c>
      <c r="D36">
        <f>MAX(B36:B38)</f>
        <v>0.73153999999999997</v>
      </c>
    </row>
    <row r="37" spans="1:4" x14ac:dyDescent="0.25">
      <c r="A37" t="s">
        <v>28</v>
      </c>
      <c r="B37">
        <v>0.73038000000000003</v>
      </c>
    </row>
    <row r="38" spans="1:4" x14ac:dyDescent="0.25">
      <c r="A38" t="s">
        <v>28</v>
      </c>
      <c r="B38">
        <v>0.73153999999999997</v>
      </c>
    </row>
    <row r="39" spans="1:4" x14ac:dyDescent="0.25">
      <c r="A39" t="s">
        <v>29</v>
      </c>
      <c r="B39">
        <v>0.71160000000000001</v>
      </c>
      <c r="D39">
        <f>MAX(B39:B42)</f>
        <v>0.73385</v>
      </c>
    </row>
    <row r="40" spans="1:4" x14ac:dyDescent="0.25">
      <c r="A40" t="s">
        <v>29</v>
      </c>
      <c r="B40">
        <v>0.72340000000000004</v>
      </c>
    </row>
    <row r="41" spans="1:4" x14ac:dyDescent="0.25">
      <c r="A41" t="s">
        <v>29</v>
      </c>
      <c r="B41">
        <v>0.73385</v>
      </c>
    </row>
    <row r="42" spans="1:4" x14ac:dyDescent="0.25">
      <c r="A42" t="s">
        <v>29</v>
      </c>
      <c r="B42">
        <v>0.72958999999999996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3FC3-F951-424B-A654-7BA719E64DFA}">
  <dimension ref="A1:C42"/>
  <sheetViews>
    <sheetView topLeftCell="A13" workbookViewId="0">
      <selection activeCell="E38" sqref="E38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0.64753000000000005</v>
      </c>
    </row>
    <row r="3" spans="1:3" x14ac:dyDescent="0.25">
      <c r="A3" t="s">
        <v>13</v>
      </c>
      <c r="B3">
        <v>0.65234999999999999</v>
      </c>
      <c r="C3">
        <f>MAX(B2:B4)</f>
        <v>0.65234999999999999</v>
      </c>
    </row>
    <row r="4" spans="1:3" x14ac:dyDescent="0.25">
      <c r="A4" t="s">
        <v>13</v>
      </c>
      <c r="B4">
        <v>0.63349999999999995</v>
      </c>
    </row>
    <row r="5" spans="1:3" x14ac:dyDescent="0.25">
      <c r="A5" t="s">
        <v>22</v>
      </c>
      <c r="B5">
        <v>0.64115999999999995</v>
      </c>
    </row>
    <row r="6" spans="1:3" x14ac:dyDescent="0.25">
      <c r="A6" t="s">
        <v>22</v>
      </c>
      <c r="B6">
        <v>0.64398999999999995</v>
      </c>
      <c r="C6">
        <f>MAX(B5:B6)</f>
        <v>0.64398999999999995</v>
      </c>
    </row>
    <row r="7" spans="1:3" x14ac:dyDescent="0.25">
      <c r="A7" t="s">
        <v>23</v>
      </c>
      <c r="B7">
        <v>0.59609000000000001</v>
      </c>
      <c r="C7">
        <f>MAX(B7:B10)</f>
        <v>0.61195999999999995</v>
      </c>
    </row>
    <row r="8" spans="1:3" x14ac:dyDescent="0.25">
      <c r="A8" t="s">
        <v>23</v>
      </c>
      <c r="B8">
        <v>0.61195999999999995</v>
      </c>
    </row>
    <row r="9" spans="1:3" x14ac:dyDescent="0.25">
      <c r="A9" t="s">
        <v>23</v>
      </c>
      <c r="B9">
        <v>0.60189999999999999</v>
      </c>
    </row>
    <row r="10" spans="1:3" x14ac:dyDescent="0.25">
      <c r="A10" t="s">
        <v>23</v>
      </c>
      <c r="B10">
        <v>0.46357999999999999</v>
      </c>
    </row>
    <row r="11" spans="1:3" x14ac:dyDescent="0.25">
      <c r="A11" t="s">
        <v>24</v>
      </c>
      <c r="B11">
        <v>0.60346</v>
      </c>
      <c r="C11">
        <f>MAX(B11:B13)</f>
        <v>0.60728000000000004</v>
      </c>
    </row>
    <row r="12" spans="1:3" x14ac:dyDescent="0.25">
      <c r="A12" t="s">
        <v>24</v>
      </c>
      <c r="B12">
        <v>0.60643000000000002</v>
      </c>
    </row>
    <row r="13" spans="1:3" x14ac:dyDescent="0.25">
      <c r="A13" t="s">
        <v>24</v>
      </c>
      <c r="B13">
        <v>0.60728000000000004</v>
      </c>
    </row>
    <row r="14" spans="1:3" x14ac:dyDescent="0.25">
      <c r="A14" t="s">
        <v>25</v>
      </c>
      <c r="B14">
        <v>0.46994999999999998</v>
      </c>
      <c r="C14">
        <f>MAX(B14:B17)</f>
        <v>0.58311999999999997</v>
      </c>
    </row>
    <row r="15" spans="1:3" x14ac:dyDescent="0.25">
      <c r="A15" t="s">
        <v>25</v>
      </c>
      <c r="B15">
        <v>0.56738999999999995</v>
      </c>
    </row>
    <row r="16" spans="1:3" x14ac:dyDescent="0.25">
      <c r="A16" t="s">
        <v>25</v>
      </c>
      <c r="B16">
        <v>0.58311999999999997</v>
      </c>
    </row>
    <row r="17" spans="1:3" x14ac:dyDescent="0.25">
      <c r="A17" t="s">
        <v>25</v>
      </c>
      <c r="B17">
        <v>0.57865999999999995</v>
      </c>
    </row>
    <row r="18" spans="1:3" x14ac:dyDescent="0.25">
      <c r="A18" t="s">
        <v>15</v>
      </c>
      <c r="B18">
        <v>0.51558999999999999</v>
      </c>
      <c r="C18">
        <f>MAX(B18:B20)</f>
        <v>0.55315000000000003</v>
      </c>
    </row>
    <row r="19" spans="1:3" x14ac:dyDescent="0.25">
      <c r="A19" t="s">
        <v>15</v>
      </c>
      <c r="B19">
        <v>0.54052999999999995</v>
      </c>
    </row>
    <row r="20" spans="1:3" x14ac:dyDescent="0.25">
      <c r="A20" t="s">
        <v>15</v>
      </c>
      <c r="B20">
        <v>0.55315000000000003</v>
      </c>
    </row>
    <row r="21" spans="1:3" x14ac:dyDescent="0.25">
      <c r="A21" t="s">
        <v>26</v>
      </c>
      <c r="B21">
        <v>0.52388000000000001</v>
      </c>
      <c r="C21">
        <f>MAX(B21:B23)</f>
        <v>0.52607999999999999</v>
      </c>
    </row>
    <row r="22" spans="1:3" x14ac:dyDescent="0.25">
      <c r="A22" t="s">
        <v>26</v>
      </c>
      <c r="B22">
        <v>0.52607999999999999</v>
      </c>
    </row>
    <row r="23" spans="1:3" x14ac:dyDescent="0.25">
      <c r="A23" t="s">
        <v>26</v>
      </c>
      <c r="B23">
        <v>0.51651000000000002</v>
      </c>
    </row>
    <row r="24" spans="1:3" x14ac:dyDescent="0.25">
      <c r="A24" t="s">
        <v>14</v>
      </c>
      <c r="B24">
        <v>0.65505000000000002</v>
      </c>
      <c r="C24">
        <f>MAX(B24:B27)</f>
        <v>0.66993000000000003</v>
      </c>
    </row>
    <row r="25" spans="1:3" x14ac:dyDescent="0.25">
      <c r="A25" t="s">
        <v>14</v>
      </c>
      <c r="B25">
        <v>0.66908000000000001</v>
      </c>
    </row>
    <row r="26" spans="1:3" x14ac:dyDescent="0.25">
      <c r="A26" t="s">
        <v>14</v>
      </c>
      <c r="B26">
        <v>0.66993000000000003</v>
      </c>
    </row>
    <row r="27" spans="1:3" x14ac:dyDescent="0.25">
      <c r="A27" t="s">
        <v>14</v>
      </c>
      <c r="B27">
        <v>0.64881</v>
      </c>
    </row>
    <row r="28" spans="1:3" x14ac:dyDescent="0.25">
      <c r="A28" t="s">
        <v>27</v>
      </c>
      <c r="B28">
        <v>0.52622000000000002</v>
      </c>
      <c r="C28">
        <f>MAX(B28:B31)</f>
        <v>0.58672999999999997</v>
      </c>
    </row>
    <row r="29" spans="1:3" x14ac:dyDescent="0.25">
      <c r="A29" t="s">
        <v>27</v>
      </c>
      <c r="B29">
        <v>0.57808999999999999</v>
      </c>
    </row>
    <row r="30" spans="1:3" x14ac:dyDescent="0.25">
      <c r="A30" t="s">
        <v>27</v>
      </c>
      <c r="B30">
        <v>0.58672999999999997</v>
      </c>
    </row>
    <row r="31" spans="1:3" x14ac:dyDescent="0.25">
      <c r="A31" t="s">
        <v>27</v>
      </c>
      <c r="B31">
        <v>0.58574000000000004</v>
      </c>
    </row>
    <row r="32" spans="1:3" x14ac:dyDescent="0.25">
      <c r="A32" t="s">
        <v>16</v>
      </c>
      <c r="B32">
        <v>0.60218000000000005</v>
      </c>
      <c r="C32">
        <f>MAX(B32:B34)</f>
        <v>0.60218000000000005</v>
      </c>
    </row>
    <row r="33" spans="1:3" x14ac:dyDescent="0.25">
      <c r="A33" t="s">
        <v>16</v>
      </c>
      <c r="B33">
        <v>0.40178999999999998</v>
      </c>
    </row>
    <row r="34" spans="1:3" x14ac:dyDescent="0.25">
      <c r="A34" t="s">
        <v>16</v>
      </c>
      <c r="B34">
        <v>0.49008000000000002</v>
      </c>
    </row>
    <row r="35" spans="1:3" x14ac:dyDescent="0.25">
      <c r="A35" t="s">
        <v>28</v>
      </c>
      <c r="B35">
        <v>0.56589999999999996</v>
      </c>
      <c r="C35">
        <f>MAX(B35:B38)</f>
        <v>0.59197999999999995</v>
      </c>
    </row>
    <row r="36" spans="1:3" x14ac:dyDescent="0.25">
      <c r="A36" t="s">
        <v>28</v>
      </c>
      <c r="B36">
        <v>0.59197999999999995</v>
      </c>
    </row>
    <row r="37" spans="1:3" x14ac:dyDescent="0.25">
      <c r="A37" t="s">
        <v>28</v>
      </c>
      <c r="B37">
        <v>0.58248</v>
      </c>
    </row>
    <row r="38" spans="1:3" x14ac:dyDescent="0.25">
      <c r="A38" t="s">
        <v>28</v>
      </c>
      <c r="B38">
        <v>0.58389999999999997</v>
      </c>
    </row>
    <row r="39" spans="1:3" x14ac:dyDescent="0.25">
      <c r="A39" t="s">
        <v>29</v>
      </c>
      <c r="B39">
        <v>0.60919999999999996</v>
      </c>
      <c r="C39">
        <f>MAX(B39:B42)</f>
        <v>0.64966000000000002</v>
      </c>
    </row>
    <row r="40" spans="1:3" x14ac:dyDescent="0.25">
      <c r="A40" t="s">
        <v>29</v>
      </c>
      <c r="B40">
        <v>0.58687999999999996</v>
      </c>
    </row>
    <row r="41" spans="1:3" x14ac:dyDescent="0.25">
      <c r="A41" t="s">
        <v>29</v>
      </c>
      <c r="B41">
        <v>0.64966000000000002</v>
      </c>
    </row>
    <row r="42" spans="1:3" x14ac:dyDescent="0.25">
      <c r="A42" t="s">
        <v>29</v>
      </c>
      <c r="B42">
        <v>0.64753000000000005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0E0F-6E6F-42A6-8CF4-86ECBE8FE863}">
  <dimension ref="A1:C42"/>
  <sheetViews>
    <sheetView topLeftCell="A16" workbookViewId="0">
      <selection activeCell="G35" sqref="G35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0.44827</v>
      </c>
      <c r="C2">
        <f>MAX(B2:B4)</f>
        <v>0.81762000000000001</v>
      </c>
    </row>
    <row r="3" spans="1:3" x14ac:dyDescent="0.25">
      <c r="A3" t="s">
        <v>13</v>
      </c>
      <c r="B3">
        <v>0.81762000000000001</v>
      </c>
    </row>
    <row r="4" spans="1:3" x14ac:dyDescent="0.25">
      <c r="A4" t="s">
        <v>13</v>
      </c>
      <c r="B4">
        <v>0.63468999999999998</v>
      </c>
    </row>
    <row r="5" spans="1:3" x14ac:dyDescent="0.25">
      <c r="A5" t="s">
        <v>22</v>
      </c>
      <c r="B5">
        <v>0.30153999999999997</v>
      </c>
      <c r="C5">
        <f>MAX(B5:B6)</f>
        <v>0.72785</v>
      </c>
    </row>
    <row r="6" spans="1:3" x14ac:dyDescent="0.25">
      <c r="A6" t="s">
        <v>22</v>
      </c>
      <c r="B6">
        <v>0.72785</v>
      </c>
    </row>
    <row r="7" spans="1:3" x14ac:dyDescent="0.25">
      <c r="A7" t="s">
        <v>23</v>
      </c>
      <c r="B7">
        <v>0.43808000000000002</v>
      </c>
      <c r="C7">
        <f>MAX(B7:B10)</f>
        <v>0.78208</v>
      </c>
    </row>
    <row r="8" spans="1:3" x14ac:dyDescent="0.25">
      <c r="A8" t="s">
        <v>23</v>
      </c>
      <c r="B8">
        <v>0.78208</v>
      </c>
    </row>
    <row r="9" spans="1:3" x14ac:dyDescent="0.25">
      <c r="A9" t="s">
        <v>23</v>
      </c>
      <c r="B9">
        <v>0.72138000000000002</v>
      </c>
    </row>
    <row r="10" spans="1:3" x14ac:dyDescent="0.25">
      <c r="A10" t="s">
        <v>23</v>
      </c>
      <c r="B10">
        <v>0.72423000000000004</v>
      </c>
    </row>
    <row r="11" spans="1:3" x14ac:dyDescent="0.25">
      <c r="A11" t="s">
        <v>24</v>
      </c>
      <c r="B11">
        <v>0.50885000000000002</v>
      </c>
      <c r="C11">
        <f>MAX(B11:B13)</f>
        <v>0.76607999999999998</v>
      </c>
    </row>
    <row r="12" spans="1:3" x14ac:dyDescent="0.25">
      <c r="A12" t="s">
        <v>24</v>
      </c>
      <c r="B12">
        <v>0.76276999999999995</v>
      </c>
    </row>
    <row r="13" spans="1:3" x14ac:dyDescent="0.25">
      <c r="A13" t="s">
        <v>24</v>
      </c>
      <c r="B13">
        <v>0.76607999999999998</v>
      </c>
    </row>
    <row r="14" spans="1:3" x14ac:dyDescent="0.25">
      <c r="A14" t="s">
        <v>25</v>
      </c>
      <c r="B14">
        <v>0.50876999999999994</v>
      </c>
      <c r="C14">
        <f>MAX(B14:B17)</f>
        <v>0.78991999999999996</v>
      </c>
    </row>
    <row r="15" spans="1:3" x14ac:dyDescent="0.25">
      <c r="A15" t="s">
        <v>25</v>
      </c>
      <c r="B15">
        <v>0.78991999999999996</v>
      </c>
    </row>
    <row r="16" spans="1:3" x14ac:dyDescent="0.25">
      <c r="A16" t="s">
        <v>25</v>
      </c>
      <c r="B16">
        <v>0.76131000000000004</v>
      </c>
    </row>
    <row r="17" spans="1:3" x14ac:dyDescent="0.25">
      <c r="A17" t="s">
        <v>25</v>
      </c>
      <c r="B17">
        <v>0.76400000000000001</v>
      </c>
    </row>
    <row r="18" spans="1:3" x14ac:dyDescent="0.25">
      <c r="A18" t="s">
        <v>15</v>
      </c>
      <c r="B18">
        <v>0.50585000000000002</v>
      </c>
      <c r="C18">
        <f>MAX(B18:B21)</f>
        <v>0.84753999999999996</v>
      </c>
    </row>
    <row r="19" spans="1:3" x14ac:dyDescent="0.25">
      <c r="A19" t="s">
        <v>15</v>
      </c>
      <c r="B19">
        <v>0.35654000000000002</v>
      </c>
    </row>
    <row r="20" spans="1:3" x14ac:dyDescent="0.25">
      <c r="A20" t="s">
        <v>15</v>
      </c>
      <c r="B20">
        <v>0.84462000000000004</v>
      </c>
    </row>
    <row r="21" spans="1:3" x14ac:dyDescent="0.25">
      <c r="A21" t="s">
        <v>15</v>
      </c>
      <c r="B21">
        <v>0.84753999999999996</v>
      </c>
    </row>
    <row r="22" spans="1:3" x14ac:dyDescent="0.25">
      <c r="A22" t="s">
        <v>26</v>
      </c>
      <c r="B22">
        <v>0.61223000000000005</v>
      </c>
      <c r="C22">
        <f>MAX(B22:B24)</f>
        <v>0.78900000000000003</v>
      </c>
    </row>
    <row r="23" spans="1:3" x14ac:dyDescent="0.25">
      <c r="A23" t="s">
        <v>26</v>
      </c>
      <c r="B23">
        <v>0.78900000000000003</v>
      </c>
    </row>
    <row r="24" spans="1:3" x14ac:dyDescent="0.25">
      <c r="A24" t="s">
        <v>26</v>
      </c>
      <c r="B24">
        <v>0.77712000000000003</v>
      </c>
    </row>
    <row r="25" spans="1:3" x14ac:dyDescent="0.25">
      <c r="A25" t="s">
        <v>14</v>
      </c>
      <c r="B25">
        <v>0.316</v>
      </c>
      <c r="C25">
        <f>MAX(B25:B27)</f>
        <v>0.316</v>
      </c>
    </row>
    <row r="26" spans="1:3" x14ac:dyDescent="0.25">
      <c r="A26" t="s">
        <v>14</v>
      </c>
      <c r="B26">
        <v>0.27792</v>
      </c>
    </row>
    <row r="27" spans="1:3" x14ac:dyDescent="0.25">
      <c r="A27" t="s">
        <v>14</v>
      </c>
      <c r="B27">
        <v>0.26430999999999999</v>
      </c>
    </row>
    <row r="28" spans="1:3" x14ac:dyDescent="0.25">
      <c r="A28" t="s">
        <v>27</v>
      </c>
      <c r="B28">
        <v>0.69191999999999998</v>
      </c>
      <c r="C28">
        <f>MAX(B28:B31)</f>
        <v>0.69191999999999998</v>
      </c>
    </row>
    <row r="29" spans="1:3" x14ac:dyDescent="0.25">
      <c r="A29" t="s">
        <v>27</v>
      </c>
      <c r="B29">
        <v>0.62185000000000001</v>
      </c>
    </row>
    <row r="30" spans="1:3" x14ac:dyDescent="0.25">
      <c r="A30" t="s">
        <v>27</v>
      </c>
      <c r="B30">
        <v>0.65207999999999999</v>
      </c>
    </row>
    <row r="31" spans="1:3" x14ac:dyDescent="0.25">
      <c r="A31" t="s">
        <v>27</v>
      </c>
      <c r="B31">
        <v>0.66554000000000002</v>
      </c>
    </row>
    <row r="32" spans="1:3" x14ac:dyDescent="0.25">
      <c r="A32" t="s">
        <v>16</v>
      </c>
      <c r="B32">
        <v>0.41685</v>
      </c>
      <c r="C32">
        <f>MAX(B32:B35)</f>
        <v>0.71584999999999999</v>
      </c>
    </row>
    <row r="33" spans="1:3" x14ac:dyDescent="0.25">
      <c r="A33" t="s">
        <v>16</v>
      </c>
      <c r="B33">
        <v>0.71584999999999999</v>
      </c>
    </row>
    <row r="34" spans="1:3" x14ac:dyDescent="0.25">
      <c r="A34" t="s">
        <v>16</v>
      </c>
      <c r="B34">
        <v>0.67945999999999995</v>
      </c>
    </row>
    <row r="35" spans="1:3" x14ac:dyDescent="0.25">
      <c r="A35" t="s">
        <v>16</v>
      </c>
      <c r="B35">
        <v>0.69762000000000002</v>
      </c>
    </row>
    <row r="36" spans="1:3" x14ac:dyDescent="0.25">
      <c r="A36" t="s">
        <v>28</v>
      </c>
      <c r="B36">
        <v>0.48437999999999998</v>
      </c>
      <c r="C36">
        <f>MAX(B36:B38)</f>
        <v>0.79884999999999995</v>
      </c>
    </row>
    <row r="37" spans="1:3" x14ac:dyDescent="0.25">
      <c r="A37" t="s">
        <v>28</v>
      </c>
      <c r="B37">
        <v>0.79884999999999995</v>
      </c>
    </row>
    <row r="38" spans="1:3" x14ac:dyDescent="0.25">
      <c r="A38" t="s">
        <v>28</v>
      </c>
      <c r="B38">
        <v>0.79408000000000001</v>
      </c>
    </row>
    <row r="39" spans="1:3" x14ac:dyDescent="0.25">
      <c r="A39" t="s">
        <v>29</v>
      </c>
      <c r="B39">
        <v>0.50680999999999998</v>
      </c>
      <c r="C39">
        <f>MAX(B39:B42)</f>
        <v>0.63968999999999998</v>
      </c>
    </row>
    <row r="40" spans="1:3" x14ac:dyDescent="0.25">
      <c r="A40" t="s">
        <v>29</v>
      </c>
      <c r="B40">
        <v>0.46515000000000001</v>
      </c>
    </row>
    <row r="41" spans="1:3" x14ac:dyDescent="0.25">
      <c r="A41" t="s">
        <v>29</v>
      </c>
      <c r="B41">
        <v>0.38338</v>
      </c>
    </row>
    <row r="42" spans="1:3" x14ac:dyDescent="0.25">
      <c r="A42" t="s">
        <v>29</v>
      </c>
      <c r="B42">
        <v>0.63968999999999998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F352-3EF6-4C40-860C-2F33291BDFA8}">
  <dimension ref="A1:C33"/>
  <sheetViews>
    <sheetView topLeftCell="A7" workbookViewId="0">
      <selection activeCell="H28" sqref="H28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0.99577000000000004</v>
      </c>
      <c r="C2">
        <f>MAX(B2:B3)</f>
        <v>0.99717999999999996</v>
      </c>
    </row>
    <row r="3" spans="1:3" x14ac:dyDescent="0.25">
      <c r="A3" t="s">
        <v>13</v>
      </c>
      <c r="B3">
        <v>0.99717999999999996</v>
      </c>
    </row>
    <row r="4" spans="1:3" x14ac:dyDescent="0.25">
      <c r="A4" t="s">
        <v>22</v>
      </c>
      <c r="B4">
        <v>0.99155000000000004</v>
      </c>
      <c r="C4">
        <f>MAX(B4:B6)</f>
        <v>0.99717999999999996</v>
      </c>
    </row>
    <row r="5" spans="1:3" x14ac:dyDescent="0.25">
      <c r="A5" t="s">
        <v>22</v>
      </c>
      <c r="B5">
        <v>0.99436999999999998</v>
      </c>
    </row>
    <row r="6" spans="1:3" x14ac:dyDescent="0.25">
      <c r="A6" t="s">
        <v>22</v>
      </c>
      <c r="B6">
        <v>0.99717999999999996</v>
      </c>
    </row>
    <row r="7" spans="1:3" x14ac:dyDescent="0.25">
      <c r="A7" t="s">
        <v>23</v>
      </c>
      <c r="B7">
        <v>0.99248999999999998</v>
      </c>
      <c r="C7">
        <f>MAX(B7:B9)</f>
        <v>0.99670999999999998</v>
      </c>
    </row>
    <row r="8" spans="1:3" x14ac:dyDescent="0.25">
      <c r="A8" t="s">
        <v>23</v>
      </c>
      <c r="B8">
        <v>0.99531000000000003</v>
      </c>
    </row>
    <row r="9" spans="1:3" x14ac:dyDescent="0.25">
      <c r="A9" t="s">
        <v>23</v>
      </c>
      <c r="B9">
        <v>0.99670999999999998</v>
      </c>
    </row>
    <row r="10" spans="1:3" x14ac:dyDescent="0.25">
      <c r="A10" t="s">
        <v>24</v>
      </c>
      <c r="B10">
        <v>0.99295999999999995</v>
      </c>
      <c r="C10">
        <f>MAX(B10:B11)</f>
        <v>0.99390000000000001</v>
      </c>
    </row>
    <row r="11" spans="1:3" x14ac:dyDescent="0.25">
      <c r="A11" t="s">
        <v>24</v>
      </c>
      <c r="B11">
        <v>0.99390000000000001</v>
      </c>
    </row>
    <row r="12" spans="1:3" x14ac:dyDescent="0.25">
      <c r="A12" t="s">
        <v>25</v>
      </c>
      <c r="B12">
        <v>0.97840000000000005</v>
      </c>
      <c r="C12">
        <f>MAX(B12:B14)</f>
        <v>0.98028000000000004</v>
      </c>
    </row>
    <row r="13" spans="1:3" x14ac:dyDescent="0.25">
      <c r="A13" t="s">
        <v>25</v>
      </c>
      <c r="B13">
        <v>0.97887000000000002</v>
      </c>
    </row>
    <row r="14" spans="1:3" x14ac:dyDescent="0.25">
      <c r="A14" t="s">
        <v>25</v>
      </c>
      <c r="B14">
        <v>0.98028000000000004</v>
      </c>
    </row>
    <row r="15" spans="1:3" x14ac:dyDescent="0.25">
      <c r="A15" t="s">
        <v>15</v>
      </c>
      <c r="B15">
        <v>0.95728000000000002</v>
      </c>
      <c r="C15">
        <f>MAX(B15:B17)</f>
        <v>0.96526000000000001</v>
      </c>
    </row>
    <row r="16" spans="1:3" x14ac:dyDescent="0.25">
      <c r="A16" t="s">
        <v>15</v>
      </c>
      <c r="B16">
        <v>0.96338000000000001</v>
      </c>
    </row>
    <row r="17" spans="1:3" x14ac:dyDescent="0.25">
      <c r="A17" t="s">
        <v>15</v>
      </c>
      <c r="B17">
        <v>0.96526000000000001</v>
      </c>
    </row>
    <row r="18" spans="1:3" x14ac:dyDescent="0.25">
      <c r="A18" t="s">
        <v>26</v>
      </c>
      <c r="B18">
        <v>0.95962000000000003</v>
      </c>
      <c r="C18">
        <f>MAX(B18:B20)</f>
        <v>0.96736999999999995</v>
      </c>
    </row>
    <row r="19" spans="1:3" x14ac:dyDescent="0.25">
      <c r="A19" t="s">
        <v>26</v>
      </c>
      <c r="B19">
        <v>0.96103000000000005</v>
      </c>
    </row>
    <row r="20" spans="1:3" x14ac:dyDescent="0.25">
      <c r="A20" t="s">
        <v>26</v>
      </c>
      <c r="B20">
        <v>0.96736999999999995</v>
      </c>
    </row>
    <row r="21" spans="1:3" x14ac:dyDescent="0.25">
      <c r="A21" t="s">
        <v>14</v>
      </c>
      <c r="B21">
        <v>0.99343000000000004</v>
      </c>
      <c r="C21">
        <f>MAX(B21:B23)</f>
        <v>0.99483999999999995</v>
      </c>
    </row>
    <row r="22" spans="1:3" x14ac:dyDescent="0.25">
      <c r="A22" t="s">
        <v>14</v>
      </c>
      <c r="B22">
        <v>0.99436999999999998</v>
      </c>
    </row>
    <row r="23" spans="1:3" x14ac:dyDescent="0.25">
      <c r="A23" t="s">
        <v>14</v>
      </c>
      <c r="B23">
        <v>0.99483999999999995</v>
      </c>
    </row>
    <row r="24" spans="1:3" x14ac:dyDescent="0.25">
      <c r="A24" t="s">
        <v>27</v>
      </c>
      <c r="B24">
        <v>0.64788999999999997</v>
      </c>
      <c r="C24">
        <f>MAX(B24:B27)</f>
        <v>0.64788999999999997</v>
      </c>
    </row>
    <row r="25" spans="1:3" x14ac:dyDescent="0.25">
      <c r="A25" t="s">
        <v>27</v>
      </c>
      <c r="B25">
        <v>0.6169</v>
      </c>
    </row>
    <row r="26" spans="1:3" x14ac:dyDescent="0.25">
      <c r="A26" t="s">
        <v>27</v>
      </c>
      <c r="B26">
        <v>0.62770000000000004</v>
      </c>
    </row>
    <row r="27" spans="1:3" x14ac:dyDescent="0.25">
      <c r="A27" t="s">
        <v>27</v>
      </c>
      <c r="B27">
        <v>0.55586999999999998</v>
      </c>
    </row>
    <row r="28" spans="1:3" x14ac:dyDescent="0.25">
      <c r="A28" t="s">
        <v>16</v>
      </c>
      <c r="B28">
        <v>0.99060999999999999</v>
      </c>
      <c r="C28">
        <f>MAX(B28:B30)</f>
        <v>0.99717999999999996</v>
      </c>
    </row>
    <row r="29" spans="1:3" x14ac:dyDescent="0.25">
      <c r="A29" t="s">
        <v>16</v>
      </c>
      <c r="B29">
        <v>0.99624000000000001</v>
      </c>
    </row>
    <row r="30" spans="1:3" x14ac:dyDescent="0.25">
      <c r="A30" t="s">
        <v>16</v>
      </c>
      <c r="B30">
        <v>0.99717999999999996</v>
      </c>
    </row>
    <row r="31" spans="1:3" x14ac:dyDescent="0.25">
      <c r="A31" t="s">
        <v>28</v>
      </c>
      <c r="B31">
        <v>0.99390000000000001</v>
      </c>
      <c r="C31">
        <f>B31</f>
        <v>0.99390000000000001</v>
      </c>
    </row>
    <row r="32" spans="1:3" x14ac:dyDescent="0.25">
      <c r="A32" t="s">
        <v>29</v>
      </c>
      <c r="B32">
        <v>0.99436999999999998</v>
      </c>
      <c r="C32">
        <f>MAX(B32:B33)</f>
        <v>0.99436999999999998</v>
      </c>
    </row>
    <row r="33" spans="1:2" x14ac:dyDescent="0.25">
      <c r="A33" t="s">
        <v>29</v>
      </c>
      <c r="B33">
        <v>0.99202000000000001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D3B8-EA7D-4BBD-950A-F6390B43B165}">
  <dimension ref="A1:C38"/>
  <sheetViews>
    <sheetView topLeftCell="A10" workbookViewId="0">
      <selection activeCell="I32" sqref="I32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0.55615000000000003</v>
      </c>
      <c r="C2">
        <f>MAX(B2:B5)</f>
        <v>0.57347000000000004</v>
      </c>
    </row>
    <row r="3" spans="1:3" x14ac:dyDescent="0.25">
      <c r="A3" t="s">
        <v>13</v>
      </c>
      <c r="B3">
        <v>0.56925999999999999</v>
      </c>
    </row>
    <row r="4" spans="1:3" x14ac:dyDescent="0.25">
      <c r="A4" t="s">
        <v>13</v>
      </c>
      <c r="B4">
        <v>0.57174000000000003</v>
      </c>
    </row>
    <row r="5" spans="1:3" x14ac:dyDescent="0.25">
      <c r="A5" t="s">
        <v>13</v>
      </c>
      <c r="B5">
        <v>0.57347000000000004</v>
      </c>
    </row>
    <row r="6" spans="1:3" x14ac:dyDescent="0.25">
      <c r="A6" t="s">
        <v>22</v>
      </c>
      <c r="B6">
        <v>0.55745</v>
      </c>
      <c r="C6">
        <f>MAX(B6:B8)</f>
        <v>0.56618000000000002</v>
      </c>
    </row>
    <row r="7" spans="1:3" x14ac:dyDescent="0.25">
      <c r="A7" t="s">
        <v>22</v>
      </c>
      <c r="B7">
        <v>0.56489999999999996</v>
      </c>
    </row>
    <row r="8" spans="1:3" x14ac:dyDescent="0.25">
      <c r="A8" t="s">
        <v>22</v>
      </c>
      <c r="B8">
        <v>0.56618000000000002</v>
      </c>
    </row>
    <row r="9" spans="1:3" x14ac:dyDescent="0.25">
      <c r="A9" t="s">
        <v>23</v>
      </c>
      <c r="B9">
        <v>0.47383999999999998</v>
      </c>
      <c r="C9">
        <f>MAX(B9:B11)</f>
        <v>0.47383999999999998</v>
      </c>
    </row>
    <row r="10" spans="1:3" x14ac:dyDescent="0.25">
      <c r="A10" t="s">
        <v>23</v>
      </c>
      <c r="B10">
        <v>0.46977000000000002</v>
      </c>
    </row>
    <row r="11" spans="1:3" x14ac:dyDescent="0.25">
      <c r="A11" t="s">
        <v>23</v>
      </c>
      <c r="B11">
        <v>0.44077</v>
      </c>
    </row>
    <row r="12" spans="1:3" x14ac:dyDescent="0.25">
      <c r="A12" t="s">
        <v>24</v>
      </c>
      <c r="B12">
        <v>0.50119000000000002</v>
      </c>
      <c r="C12">
        <f>MAX(B12:B13)</f>
        <v>0.50119000000000002</v>
      </c>
    </row>
    <row r="13" spans="1:3" x14ac:dyDescent="0.25">
      <c r="A13" t="s">
        <v>24</v>
      </c>
      <c r="B13">
        <v>0.41348000000000001</v>
      </c>
    </row>
    <row r="14" spans="1:3" x14ac:dyDescent="0.25">
      <c r="A14" t="s">
        <v>25</v>
      </c>
      <c r="B14">
        <v>0.48381000000000002</v>
      </c>
      <c r="C14">
        <f>MAX(B14:B15)</f>
        <v>0.49658000000000002</v>
      </c>
    </row>
    <row r="15" spans="1:3" x14ac:dyDescent="0.25">
      <c r="A15" t="s">
        <v>25</v>
      </c>
      <c r="B15">
        <v>0.49658000000000002</v>
      </c>
    </row>
    <row r="16" spans="1:3" x14ac:dyDescent="0.25">
      <c r="A16" t="s">
        <v>15</v>
      </c>
      <c r="B16">
        <v>0.46695999999999999</v>
      </c>
      <c r="C16">
        <f>MAX(B16:B19)</f>
        <v>0.47960000000000003</v>
      </c>
    </row>
    <row r="17" spans="1:3" x14ac:dyDescent="0.25">
      <c r="A17" t="s">
        <v>15</v>
      </c>
      <c r="B17">
        <v>0.47960000000000003</v>
      </c>
    </row>
    <row r="18" spans="1:3" x14ac:dyDescent="0.25">
      <c r="A18" t="s">
        <v>15</v>
      </c>
      <c r="B18">
        <v>0.47815000000000002</v>
      </c>
    </row>
    <row r="19" spans="1:3" x14ac:dyDescent="0.25">
      <c r="A19" t="s">
        <v>15</v>
      </c>
      <c r="B19">
        <v>0.42636000000000002</v>
      </c>
    </row>
    <row r="20" spans="1:3" x14ac:dyDescent="0.25">
      <c r="A20" t="s">
        <v>26</v>
      </c>
      <c r="B20">
        <v>0.51495000000000002</v>
      </c>
      <c r="C20">
        <f>MAX(B20:B23)</f>
        <v>0.51910000000000001</v>
      </c>
    </row>
    <row r="21" spans="1:3" x14ac:dyDescent="0.25">
      <c r="A21" t="s">
        <v>26</v>
      </c>
      <c r="B21">
        <v>0.51861999999999997</v>
      </c>
    </row>
    <row r="22" spans="1:3" x14ac:dyDescent="0.25">
      <c r="A22" t="s">
        <v>26</v>
      </c>
      <c r="B22">
        <v>0.51910000000000001</v>
      </c>
    </row>
    <row r="23" spans="1:3" x14ac:dyDescent="0.25">
      <c r="A23" t="s">
        <v>26</v>
      </c>
      <c r="B23">
        <v>0.51822000000000001</v>
      </c>
    </row>
    <row r="24" spans="1:3" x14ac:dyDescent="0.25">
      <c r="A24" t="s">
        <v>14</v>
      </c>
      <c r="B24">
        <v>0.43720999999999999</v>
      </c>
      <c r="C24">
        <f>MAX(B24:B25)</f>
        <v>0.43720999999999999</v>
      </c>
    </row>
    <row r="25" spans="1:3" x14ac:dyDescent="0.25">
      <c r="A25" t="s">
        <v>14</v>
      </c>
      <c r="B25">
        <v>0.42781999999999998</v>
      </c>
    </row>
    <row r="26" spans="1:3" x14ac:dyDescent="0.25">
      <c r="A26" t="s">
        <v>27</v>
      </c>
      <c r="B26">
        <v>0.45831</v>
      </c>
      <c r="C26">
        <f>MAX(B26:B29)</f>
        <v>0.47666999999999998</v>
      </c>
    </row>
    <row r="27" spans="1:3" x14ac:dyDescent="0.25">
      <c r="A27" t="s">
        <v>27</v>
      </c>
      <c r="B27">
        <v>0.41425000000000001</v>
      </c>
    </row>
    <row r="28" spans="1:3" x14ac:dyDescent="0.25">
      <c r="A28" t="s">
        <v>27</v>
      </c>
      <c r="B28">
        <v>0.47589999999999999</v>
      </c>
    </row>
    <row r="29" spans="1:3" x14ac:dyDescent="0.25">
      <c r="A29" t="s">
        <v>27</v>
      </c>
      <c r="B29">
        <v>0.47666999999999998</v>
      </c>
    </row>
    <row r="30" spans="1:3" x14ac:dyDescent="0.25">
      <c r="A30" t="s">
        <v>16</v>
      </c>
      <c r="B30">
        <v>0.48171000000000003</v>
      </c>
      <c r="C30">
        <f>MAX(B30:B33)</f>
        <v>0.53641000000000005</v>
      </c>
    </row>
    <row r="31" spans="1:3" x14ac:dyDescent="0.25">
      <c r="A31" t="s">
        <v>16</v>
      </c>
      <c r="B31">
        <v>0.48127999999999999</v>
      </c>
    </row>
    <row r="32" spans="1:3" x14ac:dyDescent="0.25">
      <c r="A32" t="s">
        <v>16</v>
      </c>
      <c r="B32">
        <v>0.53117999999999999</v>
      </c>
    </row>
    <row r="33" spans="1:3" x14ac:dyDescent="0.25">
      <c r="A33" t="s">
        <v>16</v>
      </c>
      <c r="B33">
        <v>0.53641000000000005</v>
      </c>
    </row>
    <row r="34" spans="1:3" x14ac:dyDescent="0.25">
      <c r="A34" t="s">
        <v>28</v>
      </c>
      <c r="B34">
        <v>0.47381000000000001</v>
      </c>
      <c r="C34">
        <f>MAX(B34:B36)</f>
        <v>0.47381000000000001</v>
      </c>
    </row>
    <row r="35" spans="1:3" x14ac:dyDescent="0.25">
      <c r="A35" t="s">
        <v>28</v>
      </c>
      <c r="B35">
        <v>0.47099000000000002</v>
      </c>
    </row>
    <row r="36" spans="1:3" x14ac:dyDescent="0.25">
      <c r="A36" t="s">
        <v>28</v>
      </c>
      <c r="B36">
        <v>0.44855</v>
      </c>
    </row>
    <row r="37" spans="1:3" x14ac:dyDescent="0.25">
      <c r="A37" t="s">
        <v>29</v>
      </c>
      <c r="B37">
        <v>0.48259000000000002</v>
      </c>
      <c r="C37">
        <f>MAX(B37:B38)</f>
        <v>0.49945000000000001</v>
      </c>
    </row>
    <row r="38" spans="1:3" x14ac:dyDescent="0.25">
      <c r="A38" t="s">
        <v>29</v>
      </c>
      <c r="B38">
        <v>0.49945000000000001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B5A3-CE5B-4A8C-9C85-AF312DF32E51}">
  <dimension ref="A1:C35"/>
  <sheetViews>
    <sheetView topLeftCell="A10" workbookViewId="0">
      <selection activeCell="I31" sqref="I31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0.54093000000000002</v>
      </c>
      <c r="C2">
        <f>MAX(B2:B3)</f>
        <v>0.54093000000000002</v>
      </c>
    </row>
    <row r="3" spans="1:3" x14ac:dyDescent="0.25">
      <c r="A3" t="s">
        <v>13</v>
      </c>
      <c r="B3">
        <v>0.50585000000000002</v>
      </c>
    </row>
    <row r="4" spans="1:3" x14ac:dyDescent="0.25">
      <c r="A4" t="s">
        <v>22</v>
      </c>
      <c r="B4">
        <v>0.51951999999999998</v>
      </c>
      <c r="C4">
        <f>MAX(B4:B7)</f>
        <v>0.53190999999999999</v>
      </c>
    </row>
    <row r="5" spans="1:3" x14ac:dyDescent="0.25">
      <c r="A5" t="s">
        <v>22</v>
      </c>
      <c r="B5">
        <v>0.53190999999999999</v>
      </c>
    </row>
    <row r="6" spans="1:3" x14ac:dyDescent="0.25">
      <c r="A6" t="s">
        <v>22</v>
      </c>
      <c r="B6">
        <v>0.52966000000000002</v>
      </c>
    </row>
    <row r="7" spans="1:3" x14ac:dyDescent="0.25">
      <c r="A7" t="s">
        <v>22</v>
      </c>
      <c r="B7">
        <v>0.52924000000000004</v>
      </c>
    </row>
    <row r="8" spans="1:3" x14ac:dyDescent="0.25">
      <c r="A8" t="s">
        <v>23</v>
      </c>
      <c r="B8">
        <v>0.52049999999999996</v>
      </c>
      <c r="C8">
        <f>MAX(B8:B10)</f>
        <v>0.52542999999999995</v>
      </c>
    </row>
    <row r="9" spans="1:3" x14ac:dyDescent="0.25">
      <c r="A9" t="s">
        <v>23</v>
      </c>
      <c r="B9">
        <v>0.52542999999999995</v>
      </c>
    </row>
    <row r="10" spans="1:3" x14ac:dyDescent="0.25">
      <c r="A10" t="s">
        <v>23</v>
      </c>
      <c r="B10">
        <v>0.52431000000000005</v>
      </c>
    </row>
    <row r="11" spans="1:3" x14ac:dyDescent="0.25">
      <c r="A11" t="s">
        <v>24</v>
      </c>
      <c r="B11">
        <v>0.50183</v>
      </c>
      <c r="C11">
        <f>MAX(B11:B13)</f>
        <v>0.50183</v>
      </c>
    </row>
    <row r="12" spans="1:3" x14ac:dyDescent="0.25">
      <c r="A12" t="s">
        <v>24</v>
      </c>
      <c r="B12">
        <v>0.46189000000000002</v>
      </c>
    </row>
    <row r="13" spans="1:3" x14ac:dyDescent="0.25">
      <c r="A13" t="s">
        <v>24</v>
      </c>
      <c r="B13">
        <v>0.49682999999999999</v>
      </c>
    </row>
    <row r="14" spans="1:3" x14ac:dyDescent="0.25">
      <c r="A14" t="s">
        <v>25</v>
      </c>
      <c r="B14">
        <v>0.50183</v>
      </c>
      <c r="C14">
        <f>MAX(B14:B16)</f>
        <v>0.50183</v>
      </c>
    </row>
    <row r="15" spans="1:3" x14ac:dyDescent="0.25">
      <c r="A15" t="s">
        <v>25</v>
      </c>
      <c r="B15">
        <v>0.47619</v>
      </c>
    </row>
    <row r="16" spans="1:3" x14ac:dyDescent="0.25">
      <c r="A16" t="s">
        <v>25</v>
      </c>
      <c r="B16">
        <v>0.49084</v>
      </c>
    </row>
    <row r="17" spans="1:3" x14ac:dyDescent="0.25">
      <c r="A17" t="s">
        <v>15</v>
      </c>
      <c r="B17">
        <v>0.50007000000000001</v>
      </c>
      <c r="C17">
        <f>MAX(B17:B18)</f>
        <v>0.50344999999999995</v>
      </c>
    </row>
    <row r="18" spans="1:3" x14ac:dyDescent="0.25">
      <c r="A18" t="s">
        <v>15</v>
      </c>
      <c r="B18">
        <v>0.50344999999999995</v>
      </c>
    </row>
    <row r="19" spans="1:3" x14ac:dyDescent="0.25">
      <c r="A19" t="s">
        <v>26</v>
      </c>
      <c r="B19">
        <v>0.50726000000000004</v>
      </c>
      <c r="C19">
        <f>MAX(B19:B20)</f>
        <v>0.50726000000000004</v>
      </c>
    </row>
    <row r="20" spans="1:3" x14ac:dyDescent="0.25">
      <c r="A20" t="s">
        <v>26</v>
      </c>
      <c r="B20">
        <v>0.48048000000000002</v>
      </c>
    </row>
    <row r="21" spans="1:3" x14ac:dyDescent="0.25">
      <c r="A21" t="s">
        <v>14</v>
      </c>
      <c r="B21">
        <v>0.52669999999999995</v>
      </c>
      <c r="C21">
        <f>MAX(B21:B23)</f>
        <v>0.53417000000000003</v>
      </c>
    </row>
    <row r="22" spans="1:3" x14ac:dyDescent="0.25">
      <c r="A22" t="s">
        <v>14</v>
      </c>
      <c r="B22">
        <v>0.53036000000000005</v>
      </c>
    </row>
    <row r="23" spans="1:3" x14ac:dyDescent="0.25">
      <c r="A23" t="s">
        <v>14</v>
      </c>
      <c r="B23">
        <v>0.53417000000000003</v>
      </c>
    </row>
    <row r="24" spans="1:3" x14ac:dyDescent="0.25">
      <c r="A24" t="s">
        <v>27</v>
      </c>
      <c r="B24">
        <v>0.51853000000000005</v>
      </c>
      <c r="C24">
        <f>MAX(B24:B26)</f>
        <v>0.51853000000000005</v>
      </c>
    </row>
    <row r="25" spans="1:3" x14ac:dyDescent="0.25">
      <c r="A25" t="s">
        <v>27</v>
      </c>
      <c r="B25">
        <v>0.51726000000000005</v>
      </c>
    </row>
    <row r="26" spans="1:3" x14ac:dyDescent="0.25">
      <c r="A26" t="s">
        <v>27</v>
      </c>
      <c r="B26">
        <v>0.49556</v>
      </c>
    </row>
    <row r="27" spans="1:3" x14ac:dyDescent="0.25">
      <c r="A27" t="s">
        <v>16</v>
      </c>
      <c r="B27">
        <v>0.53205999999999998</v>
      </c>
      <c r="C27">
        <f>MAX(B27:B29)</f>
        <v>0.58291999999999999</v>
      </c>
    </row>
    <row r="28" spans="1:3" x14ac:dyDescent="0.25">
      <c r="A28" t="s">
        <v>16</v>
      </c>
      <c r="B28">
        <v>0.56559000000000004</v>
      </c>
    </row>
    <row r="29" spans="1:3" x14ac:dyDescent="0.25">
      <c r="A29" t="s">
        <v>16</v>
      </c>
      <c r="B29">
        <v>0.58291999999999999</v>
      </c>
    </row>
    <row r="30" spans="1:3" x14ac:dyDescent="0.25">
      <c r="A30" t="s">
        <v>28</v>
      </c>
      <c r="B30">
        <v>0.48837999999999998</v>
      </c>
      <c r="C30">
        <f>MAX(B30:B32)</f>
        <v>0.49569999999999997</v>
      </c>
    </row>
    <row r="31" spans="1:3" x14ac:dyDescent="0.25">
      <c r="A31" t="s">
        <v>28</v>
      </c>
      <c r="B31">
        <v>0.47089999999999999</v>
      </c>
    </row>
    <row r="32" spans="1:3" x14ac:dyDescent="0.25">
      <c r="A32" t="s">
        <v>28</v>
      </c>
      <c r="B32">
        <v>0.49569999999999997</v>
      </c>
    </row>
    <row r="33" spans="1:3" x14ac:dyDescent="0.25">
      <c r="A33" t="s">
        <v>29</v>
      </c>
      <c r="B33">
        <v>0.54615000000000002</v>
      </c>
      <c r="C33">
        <f>MAX(B33:B35)</f>
        <v>0.55686000000000002</v>
      </c>
    </row>
    <row r="34" spans="1:3" x14ac:dyDescent="0.25">
      <c r="A34" t="s">
        <v>29</v>
      </c>
      <c r="B34">
        <v>0.55318999999999996</v>
      </c>
    </row>
    <row r="35" spans="1:3" x14ac:dyDescent="0.25">
      <c r="A35" t="s">
        <v>29</v>
      </c>
      <c r="B35">
        <v>0.55686000000000002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96E0-256A-4A27-9A69-9963FBE3B123}">
  <dimension ref="A1:C43"/>
  <sheetViews>
    <sheetView topLeftCell="A16" workbookViewId="0">
      <selection activeCell="I38" sqref="I38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0.68010999999999999</v>
      </c>
      <c r="C2">
        <f>MAX(B2:B5)</f>
        <v>0.68383000000000005</v>
      </c>
    </row>
    <row r="3" spans="1:3" x14ac:dyDescent="0.25">
      <c r="A3" t="s">
        <v>13</v>
      </c>
      <c r="B3">
        <v>0.68383000000000005</v>
      </c>
    </row>
    <row r="4" spans="1:3" x14ac:dyDescent="0.25">
      <c r="A4" t="s">
        <v>13</v>
      </c>
      <c r="B4">
        <v>0.67630999999999997</v>
      </c>
    </row>
    <row r="5" spans="1:3" x14ac:dyDescent="0.25">
      <c r="A5" t="s">
        <v>13</v>
      </c>
      <c r="B5">
        <v>0.68213999999999997</v>
      </c>
    </row>
    <row r="6" spans="1:3" x14ac:dyDescent="0.25">
      <c r="A6" t="s">
        <v>22</v>
      </c>
      <c r="B6">
        <v>0.66056000000000004</v>
      </c>
      <c r="C6">
        <f>MAX(B6:B8)</f>
        <v>0.66883000000000004</v>
      </c>
    </row>
    <row r="7" spans="1:3" x14ac:dyDescent="0.25">
      <c r="A7" t="s">
        <v>22</v>
      </c>
      <c r="B7">
        <v>0.66861000000000004</v>
      </c>
    </row>
    <row r="8" spans="1:3" x14ac:dyDescent="0.25">
      <c r="A8" t="s">
        <v>22</v>
      </c>
      <c r="B8">
        <v>0.66883000000000004</v>
      </c>
    </row>
    <row r="9" spans="1:3" x14ac:dyDescent="0.25">
      <c r="A9" t="s">
        <v>23</v>
      </c>
      <c r="B9">
        <v>0.62133000000000005</v>
      </c>
      <c r="C9">
        <f>MAX(B9:B10)</f>
        <v>0.65583000000000002</v>
      </c>
    </row>
    <row r="10" spans="1:3" x14ac:dyDescent="0.25">
      <c r="A10" t="s">
        <v>23</v>
      </c>
      <c r="B10">
        <v>0.65583000000000002</v>
      </c>
    </row>
    <row r="11" spans="1:3" x14ac:dyDescent="0.25">
      <c r="A11" t="s">
        <v>24</v>
      </c>
      <c r="B11">
        <v>0.54978000000000005</v>
      </c>
      <c r="C11">
        <f>MAX(B11:B13)</f>
        <v>0.56933</v>
      </c>
    </row>
    <row r="12" spans="1:3" x14ac:dyDescent="0.25">
      <c r="A12" t="s">
        <v>24</v>
      </c>
      <c r="B12">
        <v>0.56760999999999995</v>
      </c>
    </row>
    <row r="13" spans="1:3" x14ac:dyDescent="0.25">
      <c r="A13" t="s">
        <v>24</v>
      </c>
      <c r="B13">
        <v>0.56933</v>
      </c>
    </row>
    <row r="14" spans="1:3" x14ac:dyDescent="0.25">
      <c r="A14" t="s">
        <v>25</v>
      </c>
      <c r="B14">
        <v>0.48764000000000002</v>
      </c>
      <c r="C14">
        <f>MAX(B14:B17)</f>
        <v>0.56138999999999994</v>
      </c>
    </row>
    <row r="15" spans="1:3" x14ac:dyDescent="0.25">
      <c r="A15" t="s">
        <v>25</v>
      </c>
      <c r="B15">
        <v>0.54483000000000004</v>
      </c>
    </row>
    <row r="16" spans="1:3" x14ac:dyDescent="0.25">
      <c r="A16" t="s">
        <v>25</v>
      </c>
      <c r="B16">
        <v>0.54805999999999999</v>
      </c>
    </row>
    <row r="17" spans="1:3" x14ac:dyDescent="0.25">
      <c r="A17" t="s">
        <v>25</v>
      </c>
      <c r="B17">
        <v>0.56138999999999994</v>
      </c>
    </row>
    <row r="18" spans="1:3" x14ac:dyDescent="0.25">
      <c r="A18" t="s">
        <v>15</v>
      </c>
      <c r="B18">
        <v>0.48566999999999999</v>
      </c>
      <c r="C18">
        <f>MAX(B18:B20)</f>
        <v>0.56906000000000001</v>
      </c>
    </row>
    <row r="19" spans="1:3" x14ac:dyDescent="0.25">
      <c r="A19" t="s">
        <v>15</v>
      </c>
      <c r="B19">
        <v>0.56521999999999994</v>
      </c>
    </row>
    <row r="20" spans="1:3" x14ac:dyDescent="0.25">
      <c r="A20" t="s">
        <v>15</v>
      </c>
      <c r="B20">
        <v>0.56906000000000001</v>
      </c>
    </row>
    <row r="21" spans="1:3" x14ac:dyDescent="0.25">
      <c r="A21" t="s">
        <v>26</v>
      </c>
      <c r="B21">
        <v>0.58743999999999996</v>
      </c>
      <c r="C21">
        <f>MAX(B21:B24)</f>
        <v>0.60592000000000001</v>
      </c>
    </row>
    <row r="22" spans="1:3" x14ac:dyDescent="0.25">
      <c r="A22" t="s">
        <v>26</v>
      </c>
      <c r="B22">
        <v>0.60592000000000001</v>
      </c>
    </row>
    <row r="23" spans="1:3" x14ac:dyDescent="0.25">
      <c r="A23" t="s">
        <v>26</v>
      </c>
      <c r="B23">
        <v>0.60472000000000004</v>
      </c>
    </row>
    <row r="24" spans="1:3" x14ac:dyDescent="0.25">
      <c r="A24" t="s">
        <v>26</v>
      </c>
      <c r="B24">
        <v>0.59699999999999998</v>
      </c>
    </row>
    <row r="25" spans="1:3" x14ac:dyDescent="0.25">
      <c r="A25" t="s">
        <v>14</v>
      </c>
      <c r="B25">
        <v>0.74978</v>
      </c>
      <c r="C25">
        <f>MAX(B25:B27)</f>
        <v>0.75566999999999995</v>
      </c>
    </row>
    <row r="26" spans="1:3" x14ac:dyDescent="0.25">
      <c r="A26" t="s">
        <v>14</v>
      </c>
      <c r="B26">
        <v>0.75217000000000001</v>
      </c>
    </row>
    <row r="27" spans="1:3" x14ac:dyDescent="0.25">
      <c r="A27" t="s">
        <v>14</v>
      </c>
      <c r="B27">
        <v>0.75566999999999995</v>
      </c>
    </row>
    <row r="28" spans="1:3" x14ac:dyDescent="0.25">
      <c r="A28" t="s">
        <v>27</v>
      </c>
      <c r="B28">
        <v>0.52010999999999996</v>
      </c>
      <c r="C28">
        <f>MAX(B28:B31)</f>
        <v>0.55693999999999999</v>
      </c>
    </row>
    <row r="29" spans="1:3" x14ac:dyDescent="0.25">
      <c r="A29" t="s">
        <v>27</v>
      </c>
      <c r="B29">
        <v>0.54117000000000004</v>
      </c>
    </row>
    <row r="30" spans="1:3" x14ac:dyDescent="0.25">
      <c r="A30" t="s">
        <v>27</v>
      </c>
      <c r="B30">
        <v>0.55393999999999999</v>
      </c>
    </row>
    <row r="31" spans="1:3" x14ac:dyDescent="0.25">
      <c r="A31" t="s">
        <v>27</v>
      </c>
      <c r="B31">
        <v>0.55693999999999999</v>
      </c>
    </row>
    <row r="32" spans="1:3" x14ac:dyDescent="0.25">
      <c r="A32" t="s">
        <v>16</v>
      </c>
      <c r="B32">
        <v>0.66439000000000004</v>
      </c>
      <c r="C32">
        <f>MAX(B32:B35)</f>
        <v>0.72055999999999998</v>
      </c>
    </row>
    <row r="33" spans="1:3" x14ac:dyDescent="0.25">
      <c r="A33" t="s">
        <v>16</v>
      </c>
      <c r="B33">
        <v>0.71494000000000002</v>
      </c>
    </row>
    <row r="34" spans="1:3" x14ac:dyDescent="0.25">
      <c r="A34" t="s">
        <v>16</v>
      </c>
      <c r="B34">
        <v>0.72055999999999998</v>
      </c>
    </row>
    <row r="35" spans="1:3" x14ac:dyDescent="0.25">
      <c r="A35" t="s">
        <v>16</v>
      </c>
      <c r="B35">
        <v>0.70011000000000001</v>
      </c>
    </row>
    <row r="36" spans="1:3" x14ac:dyDescent="0.25">
      <c r="A36" t="s">
        <v>28</v>
      </c>
      <c r="B36">
        <v>0.54471999999999998</v>
      </c>
      <c r="C36">
        <f>MAX(B36:B39)</f>
        <v>0.55967</v>
      </c>
    </row>
    <row r="37" spans="1:3" x14ac:dyDescent="0.25">
      <c r="A37" t="s">
        <v>28</v>
      </c>
      <c r="B37">
        <v>0.55967</v>
      </c>
    </row>
    <row r="38" spans="1:3" x14ac:dyDescent="0.25">
      <c r="A38" t="s">
        <v>28</v>
      </c>
      <c r="B38">
        <v>0.54881000000000002</v>
      </c>
    </row>
    <row r="39" spans="1:3" x14ac:dyDescent="0.25">
      <c r="A39" t="s">
        <v>28</v>
      </c>
      <c r="B39">
        <v>0.55528</v>
      </c>
    </row>
    <row r="40" spans="1:3" x14ac:dyDescent="0.25">
      <c r="A40" t="s">
        <v>29</v>
      </c>
      <c r="B40">
        <v>0.70977999999999997</v>
      </c>
      <c r="C40">
        <f>MAX(B40:B43)</f>
        <v>0.71682999999999997</v>
      </c>
    </row>
    <row r="41" spans="1:3" x14ac:dyDescent="0.25">
      <c r="A41" t="s">
        <v>29</v>
      </c>
      <c r="B41">
        <v>0.71150000000000002</v>
      </c>
    </row>
    <row r="42" spans="1:3" x14ac:dyDescent="0.25">
      <c r="A42" t="s">
        <v>29</v>
      </c>
      <c r="B42">
        <v>0.71011000000000002</v>
      </c>
    </row>
    <row r="43" spans="1:3" x14ac:dyDescent="0.25">
      <c r="A43" t="s">
        <v>29</v>
      </c>
      <c r="B43">
        <v>0.71682999999999997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DFA3-0E78-460F-9480-3FC988D2C4F5}">
  <dimension ref="A1:C37"/>
  <sheetViews>
    <sheetView topLeftCell="A13" workbookViewId="0">
      <selection activeCell="J33" sqref="J33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0.84877999999999998</v>
      </c>
      <c r="C2">
        <f>MAX(B2:B4)</f>
        <v>0.87480000000000002</v>
      </c>
    </row>
    <row r="3" spans="1:3" x14ac:dyDescent="0.25">
      <c r="A3" t="s">
        <v>13</v>
      </c>
      <c r="B3">
        <v>0.86938000000000004</v>
      </c>
    </row>
    <row r="4" spans="1:3" x14ac:dyDescent="0.25">
      <c r="A4" t="s">
        <v>13</v>
      </c>
      <c r="B4">
        <v>0.87480000000000002</v>
      </c>
    </row>
    <row r="5" spans="1:3" x14ac:dyDescent="0.25">
      <c r="A5" t="s">
        <v>22</v>
      </c>
      <c r="B5">
        <v>0.88319999999999999</v>
      </c>
      <c r="C5">
        <f>MAX(B5:B6)</f>
        <v>0.88319999999999999</v>
      </c>
    </row>
    <row r="6" spans="1:3" x14ac:dyDescent="0.25">
      <c r="A6" t="s">
        <v>22</v>
      </c>
      <c r="B6">
        <v>0.86775000000000002</v>
      </c>
    </row>
    <row r="7" spans="1:3" x14ac:dyDescent="0.25">
      <c r="A7" t="s">
        <v>23</v>
      </c>
      <c r="B7">
        <v>0.67642000000000002</v>
      </c>
      <c r="C7">
        <f>MAX(B7:B9)</f>
        <v>0.86667000000000005</v>
      </c>
    </row>
    <row r="8" spans="1:3" x14ac:dyDescent="0.25">
      <c r="A8" t="s">
        <v>23</v>
      </c>
      <c r="B8">
        <v>0.58808000000000005</v>
      </c>
    </row>
    <row r="9" spans="1:3" x14ac:dyDescent="0.25">
      <c r="A9" t="s">
        <v>23</v>
      </c>
      <c r="B9">
        <v>0.86667000000000005</v>
      </c>
    </row>
    <row r="10" spans="1:3" x14ac:dyDescent="0.25">
      <c r="A10" t="s">
        <v>24</v>
      </c>
      <c r="B10">
        <v>0.64173000000000002</v>
      </c>
      <c r="C10">
        <f>MAX(B10:B11)</f>
        <v>0.86504000000000003</v>
      </c>
    </row>
    <row r="11" spans="1:3" x14ac:dyDescent="0.25">
      <c r="A11" t="s">
        <v>24</v>
      </c>
      <c r="B11">
        <v>0.86504000000000003</v>
      </c>
    </row>
    <row r="12" spans="1:3" x14ac:dyDescent="0.25">
      <c r="A12" t="s">
        <v>25</v>
      </c>
      <c r="B12">
        <v>0.67317000000000005</v>
      </c>
      <c r="C12">
        <f>MAX(B12:B14)</f>
        <v>0.83957000000000004</v>
      </c>
    </row>
    <row r="13" spans="1:3" x14ac:dyDescent="0.25">
      <c r="A13" t="s">
        <v>25</v>
      </c>
      <c r="B13">
        <v>0.61761999999999995</v>
      </c>
    </row>
    <row r="14" spans="1:3" x14ac:dyDescent="0.25">
      <c r="A14" t="s">
        <v>25</v>
      </c>
      <c r="B14">
        <v>0.83957000000000004</v>
      </c>
    </row>
    <row r="15" spans="1:3" x14ac:dyDescent="0.25">
      <c r="A15" t="s">
        <v>15</v>
      </c>
      <c r="B15">
        <v>0.58699000000000001</v>
      </c>
      <c r="C15">
        <f>MAX(B15:B17)</f>
        <v>0.77886</v>
      </c>
    </row>
    <row r="16" spans="1:3" x14ac:dyDescent="0.25">
      <c r="A16" t="s">
        <v>15</v>
      </c>
      <c r="B16">
        <v>0.73333000000000004</v>
      </c>
    </row>
    <row r="17" spans="1:3" x14ac:dyDescent="0.25">
      <c r="A17" t="s">
        <v>15</v>
      </c>
      <c r="B17">
        <v>0.77886</v>
      </c>
    </row>
    <row r="18" spans="1:3" x14ac:dyDescent="0.25">
      <c r="A18" t="s">
        <v>26</v>
      </c>
      <c r="B18">
        <v>0.5393</v>
      </c>
      <c r="C18">
        <f>MAX(B18:B21)</f>
        <v>0.72926999999999997</v>
      </c>
    </row>
    <row r="19" spans="1:3" x14ac:dyDescent="0.25">
      <c r="A19" t="s">
        <v>26</v>
      </c>
      <c r="B19">
        <v>0.55501</v>
      </c>
    </row>
    <row r="20" spans="1:3" x14ac:dyDescent="0.25">
      <c r="A20" t="s">
        <v>26</v>
      </c>
      <c r="B20">
        <v>0.72926999999999997</v>
      </c>
    </row>
    <row r="21" spans="1:3" x14ac:dyDescent="0.25">
      <c r="A21" t="s">
        <v>26</v>
      </c>
      <c r="B21">
        <v>0.71220000000000006</v>
      </c>
    </row>
    <row r="22" spans="1:3" x14ac:dyDescent="0.25">
      <c r="A22" t="s">
        <v>14</v>
      </c>
      <c r="B22">
        <v>0.78861999999999999</v>
      </c>
      <c r="C22">
        <f>MAX(B22:B24)</f>
        <v>0.85799000000000003</v>
      </c>
    </row>
    <row r="23" spans="1:3" x14ac:dyDescent="0.25">
      <c r="A23" t="s">
        <v>14</v>
      </c>
      <c r="B23">
        <v>0.84714999999999996</v>
      </c>
    </row>
    <row r="24" spans="1:3" x14ac:dyDescent="0.25">
      <c r="A24" t="s">
        <v>14</v>
      </c>
      <c r="B24">
        <v>0.85799000000000003</v>
      </c>
    </row>
    <row r="25" spans="1:3" x14ac:dyDescent="0.25">
      <c r="A25" t="s">
        <v>27</v>
      </c>
      <c r="B25">
        <v>0.50678000000000001</v>
      </c>
      <c r="C25">
        <f>MAX(B25:B27)</f>
        <v>0.74200999999999995</v>
      </c>
    </row>
    <row r="26" spans="1:3" x14ac:dyDescent="0.25">
      <c r="A26" t="s">
        <v>27</v>
      </c>
      <c r="B26">
        <v>0.71762000000000004</v>
      </c>
    </row>
    <row r="27" spans="1:3" x14ac:dyDescent="0.25">
      <c r="A27" t="s">
        <v>27</v>
      </c>
      <c r="B27">
        <v>0.74200999999999995</v>
      </c>
    </row>
    <row r="28" spans="1:3" x14ac:dyDescent="0.25">
      <c r="A28" t="s">
        <v>16</v>
      </c>
      <c r="B28">
        <v>0.65256999999999998</v>
      </c>
      <c r="C28">
        <f>MAX(B28:B31)</f>
        <v>0.90351999999999999</v>
      </c>
    </row>
    <row r="29" spans="1:3" x14ac:dyDescent="0.25">
      <c r="A29" t="s">
        <v>16</v>
      </c>
      <c r="B29">
        <v>0.60487999999999997</v>
      </c>
    </row>
    <row r="30" spans="1:3" x14ac:dyDescent="0.25">
      <c r="A30" t="s">
        <v>16</v>
      </c>
      <c r="B30">
        <v>0.62385000000000002</v>
      </c>
    </row>
    <row r="31" spans="1:3" x14ac:dyDescent="0.25">
      <c r="A31" t="s">
        <v>16</v>
      </c>
      <c r="B31">
        <v>0.90351999999999999</v>
      </c>
    </row>
    <row r="32" spans="1:3" x14ac:dyDescent="0.25">
      <c r="A32" t="s">
        <v>28</v>
      </c>
      <c r="B32">
        <v>0.69621</v>
      </c>
      <c r="C32">
        <f>MAX(B32:B34)</f>
        <v>0.80379</v>
      </c>
    </row>
    <row r="33" spans="1:3" x14ac:dyDescent="0.25">
      <c r="A33" t="s">
        <v>28</v>
      </c>
      <c r="B33">
        <v>0.74958999999999998</v>
      </c>
    </row>
    <row r="34" spans="1:3" x14ac:dyDescent="0.25">
      <c r="A34" t="s">
        <v>28</v>
      </c>
      <c r="B34">
        <v>0.80379</v>
      </c>
    </row>
    <row r="35" spans="1:3" x14ac:dyDescent="0.25">
      <c r="A35" t="s">
        <v>29</v>
      </c>
      <c r="B35">
        <v>0.61680000000000001</v>
      </c>
      <c r="C35">
        <f>MAX(B35:B37)</f>
        <v>0.89539000000000002</v>
      </c>
    </row>
    <row r="36" spans="1:3" x14ac:dyDescent="0.25">
      <c r="A36" t="s">
        <v>29</v>
      </c>
      <c r="B36">
        <v>0.87858999999999998</v>
      </c>
    </row>
    <row r="37" spans="1:3" x14ac:dyDescent="0.25">
      <c r="A37" t="s">
        <v>29</v>
      </c>
      <c r="B37">
        <v>0.89539000000000002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CE60-A305-4996-8394-EDFED30DAA67}">
  <dimension ref="A1:C42"/>
  <sheetViews>
    <sheetView topLeftCell="A13" workbookViewId="0">
      <selection activeCell="K35" sqref="K35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0.78588000000000002</v>
      </c>
      <c r="C2">
        <f>MAX(B2:B4)</f>
        <v>0.78588000000000002</v>
      </c>
    </row>
    <row r="3" spans="1:3" x14ac:dyDescent="0.25">
      <c r="A3" t="s">
        <v>13</v>
      </c>
      <c r="B3">
        <v>0.77842</v>
      </c>
    </row>
    <row r="4" spans="1:3" x14ac:dyDescent="0.25">
      <c r="A4" t="s">
        <v>13</v>
      </c>
      <c r="B4">
        <v>0.77612000000000003</v>
      </c>
    </row>
    <row r="5" spans="1:3" x14ac:dyDescent="0.25">
      <c r="A5" t="s">
        <v>22</v>
      </c>
      <c r="B5">
        <v>0.69116</v>
      </c>
      <c r="C5">
        <f>MAX(B5:B7)</f>
        <v>0.74856</v>
      </c>
    </row>
    <row r="6" spans="1:3" x14ac:dyDescent="0.25">
      <c r="A6" t="s">
        <v>22</v>
      </c>
      <c r="B6">
        <v>0.74856</v>
      </c>
    </row>
    <row r="7" spans="1:3" x14ac:dyDescent="0.25">
      <c r="A7" t="s">
        <v>22</v>
      </c>
      <c r="B7">
        <v>0.74168000000000001</v>
      </c>
    </row>
    <row r="8" spans="1:3" x14ac:dyDescent="0.25">
      <c r="A8" t="s">
        <v>23</v>
      </c>
      <c r="B8">
        <v>0.76693</v>
      </c>
      <c r="C8">
        <f>MAX(B8:B10)</f>
        <v>0.80367</v>
      </c>
    </row>
    <row r="9" spans="1:3" x14ac:dyDescent="0.25">
      <c r="A9" t="s">
        <v>23</v>
      </c>
      <c r="B9">
        <v>0.80023</v>
      </c>
    </row>
    <row r="10" spans="1:3" x14ac:dyDescent="0.25">
      <c r="A10" t="s">
        <v>23</v>
      </c>
      <c r="B10">
        <v>0.80367</v>
      </c>
    </row>
    <row r="11" spans="1:3" x14ac:dyDescent="0.25">
      <c r="A11" t="s">
        <v>24</v>
      </c>
      <c r="B11">
        <v>0.72789999999999999</v>
      </c>
      <c r="C11">
        <f>MAX(B11:B14)</f>
        <v>0.73823000000000005</v>
      </c>
    </row>
    <row r="12" spans="1:3" x14ac:dyDescent="0.25">
      <c r="A12" t="s">
        <v>24</v>
      </c>
      <c r="B12">
        <v>0.73363999999999996</v>
      </c>
    </row>
    <row r="13" spans="1:3" x14ac:dyDescent="0.25">
      <c r="A13" t="s">
        <v>24</v>
      </c>
      <c r="B13">
        <v>0.73823000000000005</v>
      </c>
    </row>
    <row r="14" spans="1:3" x14ac:dyDescent="0.25">
      <c r="A14" t="s">
        <v>24</v>
      </c>
      <c r="B14">
        <v>0.73823000000000005</v>
      </c>
    </row>
    <row r="15" spans="1:3" x14ac:dyDescent="0.25">
      <c r="A15" t="s">
        <v>25</v>
      </c>
      <c r="B15">
        <v>0.69230999999999998</v>
      </c>
      <c r="C15">
        <f>MAX(B15:B18)</f>
        <v>0.72331000000000001</v>
      </c>
    </row>
    <row r="16" spans="1:3" x14ac:dyDescent="0.25">
      <c r="A16" t="s">
        <v>25</v>
      </c>
      <c r="B16">
        <v>0.72331000000000001</v>
      </c>
    </row>
    <row r="17" spans="1:3" x14ac:dyDescent="0.25">
      <c r="A17" t="s">
        <v>25</v>
      </c>
      <c r="B17">
        <v>0.70665999999999995</v>
      </c>
    </row>
    <row r="18" spans="1:3" x14ac:dyDescent="0.25">
      <c r="A18" t="s">
        <v>25</v>
      </c>
      <c r="B18">
        <v>0.72272999999999998</v>
      </c>
    </row>
    <row r="19" spans="1:3" x14ac:dyDescent="0.25">
      <c r="A19" t="s">
        <v>15</v>
      </c>
      <c r="B19">
        <v>0.67393999999999998</v>
      </c>
      <c r="C19">
        <f>MAX(B19:B21)</f>
        <v>0.73823000000000005</v>
      </c>
    </row>
    <row r="20" spans="1:3" x14ac:dyDescent="0.25">
      <c r="A20" t="s">
        <v>15</v>
      </c>
      <c r="B20">
        <v>0.71641999999999995</v>
      </c>
    </row>
    <row r="21" spans="1:3" x14ac:dyDescent="0.25">
      <c r="A21" t="s">
        <v>15</v>
      </c>
      <c r="B21">
        <v>0.73823000000000005</v>
      </c>
    </row>
    <row r="22" spans="1:3" x14ac:dyDescent="0.25">
      <c r="A22" t="s">
        <v>26</v>
      </c>
      <c r="B22">
        <v>0.71584000000000003</v>
      </c>
      <c r="C22">
        <f>MAX(B22:B25)</f>
        <v>0.74970999999999999</v>
      </c>
    </row>
    <row r="23" spans="1:3" x14ac:dyDescent="0.25">
      <c r="A23" t="s">
        <v>26</v>
      </c>
      <c r="B23">
        <v>0.74339999999999995</v>
      </c>
    </row>
    <row r="24" spans="1:3" x14ac:dyDescent="0.25">
      <c r="A24" t="s">
        <v>26</v>
      </c>
      <c r="B24">
        <v>0.74455000000000005</v>
      </c>
    </row>
    <row r="25" spans="1:3" x14ac:dyDescent="0.25">
      <c r="A25" t="s">
        <v>26</v>
      </c>
      <c r="B25">
        <v>0.74970999999999999</v>
      </c>
    </row>
    <row r="26" spans="1:3" x14ac:dyDescent="0.25">
      <c r="A26" t="s">
        <v>14</v>
      </c>
      <c r="B26">
        <v>0.59126999999999996</v>
      </c>
      <c r="C26">
        <f>MAX(B26:B28)</f>
        <v>0.70952999999999999</v>
      </c>
    </row>
    <row r="27" spans="1:3" x14ac:dyDescent="0.25">
      <c r="A27" t="s">
        <v>14</v>
      </c>
      <c r="B27">
        <v>0.70952999999999999</v>
      </c>
    </row>
    <row r="28" spans="1:3" x14ac:dyDescent="0.25">
      <c r="A28" t="s">
        <v>14</v>
      </c>
      <c r="B28">
        <v>0.70838000000000001</v>
      </c>
    </row>
    <row r="29" spans="1:3" x14ac:dyDescent="0.25">
      <c r="A29" t="s">
        <v>27</v>
      </c>
      <c r="B29">
        <v>0.44890999999999998</v>
      </c>
      <c r="C29">
        <f>MAX(B29:B31)</f>
        <v>0.71182999999999996</v>
      </c>
    </row>
    <row r="30" spans="1:3" x14ac:dyDescent="0.25">
      <c r="A30" t="s">
        <v>27</v>
      </c>
      <c r="B30">
        <v>0.70608000000000004</v>
      </c>
    </row>
    <row r="31" spans="1:3" x14ac:dyDescent="0.25">
      <c r="A31" t="s">
        <v>27</v>
      </c>
      <c r="B31">
        <v>0.71182999999999996</v>
      </c>
    </row>
    <row r="32" spans="1:3" x14ac:dyDescent="0.25">
      <c r="A32" t="s">
        <v>16</v>
      </c>
      <c r="B32">
        <v>0.78759999999999997</v>
      </c>
      <c r="C32">
        <f>MAX(B32:B35)</f>
        <v>0.82892999999999994</v>
      </c>
    </row>
    <row r="33" spans="1:3" x14ac:dyDescent="0.25">
      <c r="A33" t="s">
        <v>16</v>
      </c>
      <c r="B33">
        <v>0.78415999999999997</v>
      </c>
    </row>
    <row r="34" spans="1:3" x14ac:dyDescent="0.25">
      <c r="A34" t="s">
        <v>16</v>
      </c>
      <c r="B34">
        <v>0.82892999999999994</v>
      </c>
    </row>
    <row r="35" spans="1:3" x14ac:dyDescent="0.25">
      <c r="A35" t="s">
        <v>16</v>
      </c>
      <c r="B35">
        <v>0.78874999999999995</v>
      </c>
    </row>
    <row r="36" spans="1:3" x14ac:dyDescent="0.25">
      <c r="A36" t="s">
        <v>28</v>
      </c>
      <c r="B36">
        <v>0.56486999999999998</v>
      </c>
      <c r="C36">
        <f>MAX(B36:B38)</f>
        <v>0.60275999999999996</v>
      </c>
    </row>
    <row r="37" spans="1:3" x14ac:dyDescent="0.25">
      <c r="A37" t="s">
        <v>28</v>
      </c>
      <c r="B37">
        <v>0.53156999999999999</v>
      </c>
    </row>
    <row r="38" spans="1:3" x14ac:dyDescent="0.25">
      <c r="A38" t="s">
        <v>28</v>
      </c>
      <c r="B38">
        <v>0.60275999999999996</v>
      </c>
    </row>
    <row r="39" spans="1:3" x14ac:dyDescent="0.25">
      <c r="A39" t="s">
        <v>29</v>
      </c>
      <c r="B39">
        <v>0.81745000000000001</v>
      </c>
      <c r="C39">
        <f>MAX(B39:B42)</f>
        <v>0.82721</v>
      </c>
    </row>
    <row r="40" spans="1:3" x14ac:dyDescent="0.25">
      <c r="A40" t="s">
        <v>29</v>
      </c>
      <c r="B40">
        <v>0.79564000000000001</v>
      </c>
    </row>
    <row r="41" spans="1:3" x14ac:dyDescent="0.25">
      <c r="A41" t="s">
        <v>29</v>
      </c>
      <c r="B41">
        <v>0.82203999999999999</v>
      </c>
    </row>
    <row r="42" spans="1:3" x14ac:dyDescent="0.25">
      <c r="A42" t="s">
        <v>29</v>
      </c>
      <c r="B42">
        <v>0.82721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3EBA-F9E5-4205-8DE2-5CF3643D9239}">
  <dimension ref="A1:C34"/>
  <sheetViews>
    <sheetView topLeftCell="A10" workbookViewId="0">
      <selection activeCell="K39" sqref="K39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0.73109999999999997</v>
      </c>
      <c r="C2">
        <f>MAX(B2:B5)</f>
        <v>0.73224</v>
      </c>
    </row>
    <row r="3" spans="1:3" x14ac:dyDescent="0.25">
      <c r="A3" t="s">
        <v>13</v>
      </c>
      <c r="B3">
        <v>0.73224</v>
      </c>
    </row>
    <row r="4" spans="1:3" x14ac:dyDescent="0.25">
      <c r="A4" t="s">
        <v>13</v>
      </c>
      <c r="B4">
        <v>0.73192999999999997</v>
      </c>
    </row>
    <row r="5" spans="1:3" x14ac:dyDescent="0.25">
      <c r="A5" t="s">
        <v>13</v>
      </c>
      <c r="B5">
        <v>0.73187000000000002</v>
      </c>
    </row>
    <row r="6" spans="1:3" x14ac:dyDescent="0.25">
      <c r="A6" t="s">
        <v>22</v>
      </c>
      <c r="B6">
        <v>0.71123000000000003</v>
      </c>
      <c r="C6">
        <f>MAX(B6:B9)</f>
        <v>0.72943999999999998</v>
      </c>
    </row>
    <row r="7" spans="1:3" x14ac:dyDescent="0.25">
      <c r="A7" t="s">
        <v>22</v>
      </c>
      <c r="B7">
        <v>0.71386000000000005</v>
      </c>
    </row>
    <row r="8" spans="1:3" x14ac:dyDescent="0.25">
      <c r="A8" t="s">
        <v>22</v>
      </c>
      <c r="B8">
        <v>0.72921000000000002</v>
      </c>
    </row>
    <row r="9" spans="1:3" x14ac:dyDescent="0.25">
      <c r="A9" t="s">
        <v>22</v>
      </c>
      <c r="B9">
        <v>0.72943999999999998</v>
      </c>
    </row>
    <row r="10" spans="1:3" x14ac:dyDescent="0.25">
      <c r="A10" t="s">
        <v>23</v>
      </c>
      <c r="B10">
        <v>0.68449000000000004</v>
      </c>
      <c r="C10">
        <f>MAX(B10:B11)</f>
        <v>0.68955</v>
      </c>
    </row>
    <row r="11" spans="1:3" x14ac:dyDescent="0.25">
      <c r="A11" t="s">
        <v>23</v>
      </c>
      <c r="B11">
        <v>0.68955</v>
      </c>
    </row>
    <row r="12" spans="1:3" x14ac:dyDescent="0.25">
      <c r="A12" t="s">
        <v>24</v>
      </c>
      <c r="B12">
        <v>0.62085000000000001</v>
      </c>
      <c r="C12">
        <f>MAX(B12:B13)</f>
        <v>0.62131000000000003</v>
      </c>
    </row>
    <row r="13" spans="1:3" x14ac:dyDescent="0.25">
      <c r="A13" t="s">
        <v>24</v>
      </c>
      <c r="B13">
        <v>0.62131000000000003</v>
      </c>
    </row>
    <row r="14" spans="1:3" x14ac:dyDescent="0.25">
      <c r="A14" t="s">
        <v>25</v>
      </c>
      <c r="B14">
        <v>0.58389000000000002</v>
      </c>
      <c r="C14">
        <f>MAX(B14:B15)</f>
        <v>0.60921999999999998</v>
      </c>
    </row>
    <row r="15" spans="1:3" x14ac:dyDescent="0.25">
      <c r="A15" t="s">
        <v>25</v>
      </c>
      <c r="B15">
        <v>0.60921999999999998</v>
      </c>
    </row>
    <row r="16" spans="1:3" x14ac:dyDescent="0.25">
      <c r="A16" t="s">
        <v>15</v>
      </c>
      <c r="B16">
        <v>0.56013999999999997</v>
      </c>
      <c r="C16">
        <f>MAX(B16:B19)</f>
        <v>0.57003999999999999</v>
      </c>
    </row>
    <row r="17" spans="1:3" x14ac:dyDescent="0.25">
      <c r="A17" t="s">
        <v>15</v>
      </c>
      <c r="B17">
        <v>0.56925000000000003</v>
      </c>
    </row>
    <row r="18" spans="1:3" x14ac:dyDescent="0.25">
      <c r="A18" t="s">
        <v>15</v>
      </c>
      <c r="B18">
        <v>0.56938</v>
      </c>
    </row>
    <row r="19" spans="1:3" x14ac:dyDescent="0.25">
      <c r="A19" t="s">
        <v>15</v>
      </c>
      <c r="B19">
        <v>0.57003999999999999</v>
      </c>
    </row>
    <row r="20" spans="1:3" x14ac:dyDescent="0.25">
      <c r="A20" t="s">
        <v>26</v>
      </c>
      <c r="B20">
        <v>0.63636999999999999</v>
      </c>
      <c r="C20">
        <f>MAX(B20)</f>
        <v>0.63636999999999999</v>
      </c>
    </row>
    <row r="21" spans="1:3" x14ac:dyDescent="0.25">
      <c r="A21" t="s">
        <v>14</v>
      </c>
      <c r="B21">
        <v>0.74827999999999995</v>
      </c>
      <c r="C21">
        <f>MAX(B21:B23)</f>
        <v>0.76080999999999999</v>
      </c>
    </row>
    <row r="22" spans="1:3" x14ac:dyDescent="0.25">
      <c r="A22" t="s">
        <v>14</v>
      </c>
      <c r="B22">
        <v>0.75512999999999997</v>
      </c>
    </row>
    <row r="23" spans="1:3" x14ac:dyDescent="0.25">
      <c r="A23" t="s">
        <v>14</v>
      </c>
      <c r="B23">
        <v>0.76080999999999999</v>
      </c>
    </row>
    <row r="24" spans="1:3" x14ac:dyDescent="0.25">
      <c r="A24" t="s">
        <v>27</v>
      </c>
      <c r="B24">
        <v>0.55620999999999998</v>
      </c>
      <c r="C24">
        <f>MAX(B24:B25)</f>
        <v>0.55620999999999998</v>
      </c>
    </row>
    <row r="25" spans="1:3" x14ac:dyDescent="0.25">
      <c r="A25" t="s">
        <v>27</v>
      </c>
      <c r="B25">
        <v>0.53607000000000005</v>
      </c>
    </row>
    <row r="26" spans="1:3" x14ac:dyDescent="0.25">
      <c r="A26" t="s">
        <v>16</v>
      </c>
      <c r="B26">
        <v>0.72306000000000004</v>
      </c>
      <c r="C26">
        <f>MAX(B26:B28)</f>
        <v>0.72887999999999997</v>
      </c>
    </row>
    <row r="27" spans="1:3" x14ac:dyDescent="0.25">
      <c r="A27" t="s">
        <v>16</v>
      </c>
      <c r="B27">
        <v>0.72567999999999999</v>
      </c>
    </row>
    <row r="28" spans="1:3" x14ac:dyDescent="0.25">
      <c r="A28" t="s">
        <v>16</v>
      </c>
      <c r="B28">
        <v>0.72887999999999997</v>
      </c>
    </row>
    <row r="29" spans="1:3" x14ac:dyDescent="0.25">
      <c r="A29" t="s">
        <v>28</v>
      </c>
      <c r="B29">
        <v>0.61728000000000005</v>
      </c>
      <c r="C29">
        <f>MAX(B29:B31)</f>
        <v>0.61728000000000005</v>
      </c>
    </row>
    <row r="30" spans="1:3" x14ac:dyDescent="0.25">
      <c r="A30" t="s">
        <v>28</v>
      </c>
      <c r="B30">
        <v>0.61375000000000002</v>
      </c>
    </row>
    <row r="31" spans="1:3" x14ac:dyDescent="0.25">
      <c r="A31" t="s">
        <v>28</v>
      </c>
      <c r="B31">
        <v>0.61621999999999999</v>
      </c>
    </row>
    <row r="32" spans="1:3" x14ac:dyDescent="0.25">
      <c r="A32" t="s">
        <v>29</v>
      </c>
      <c r="B32">
        <v>0.68786000000000003</v>
      </c>
      <c r="C32">
        <f>MAX(B32:B34)</f>
        <v>0.70121</v>
      </c>
    </row>
    <row r="33" spans="1:2" x14ac:dyDescent="0.25">
      <c r="A33" t="s">
        <v>29</v>
      </c>
      <c r="B33">
        <v>0.69167999999999996</v>
      </c>
    </row>
    <row r="34" spans="1:2" x14ac:dyDescent="0.25">
      <c r="A34" t="s">
        <v>29</v>
      </c>
      <c r="B34">
        <v>0.70121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77EC-BA22-47EB-98DB-A8ABB998676D}">
  <dimension ref="A1:C44"/>
  <sheetViews>
    <sheetView topLeftCell="A16" workbookViewId="0">
      <selection activeCell="J44" sqref="J44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0.98255999999999999</v>
      </c>
      <c r="C2">
        <f>MAX(B2:B4)</f>
        <v>0.99212</v>
      </c>
    </row>
    <row r="3" spans="1:3" x14ac:dyDescent="0.25">
      <c r="A3" t="s">
        <v>13</v>
      </c>
      <c r="B3">
        <v>0.99212</v>
      </c>
    </row>
    <row r="4" spans="1:3" x14ac:dyDescent="0.25">
      <c r="A4" t="s">
        <v>13</v>
      </c>
      <c r="B4">
        <v>0.99175999999999997</v>
      </c>
    </row>
    <row r="5" spans="1:3" x14ac:dyDescent="0.25">
      <c r="A5" t="s">
        <v>22</v>
      </c>
      <c r="B5">
        <v>0.92906</v>
      </c>
      <c r="C5">
        <f>MAX(B5:B8)</f>
        <v>0.99160000000000004</v>
      </c>
    </row>
    <row r="6" spans="1:3" x14ac:dyDescent="0.25">
      <c r="A6" t="s">
        <v>22</v>
      </c>
      <c r="B6">
        <v>0.99160000000000004</v>
      </c>
    </row>
    <row r="7" spans="1:3" x14ac:dyDescent="0.25">
      <c r="A7" t="s">
        <v>22</v>
      </c>
      <c r="B7">
        <v>0.99158000000000002</v>
      </c>
    </row>
    <row r="8" spans="1:3" x14ac:dyDescent="0.25">
      <c r="A8" t="s">
        <v>22</v>
      </c>
      <c r="B8">
        <v>0.99150000000000005</v>
      </c>
    </row>
    <row r="9" spans="1:3" x14ac:dyDescent="0.25">
      <c r="A9" t="s">
        <v>23</v>
      </c>
      <c r="B9">
        <v>0.56969999999999998</v>
      </c>
      <c r="C9">
        <f>MAX(B9:B12)</f>
        <v>0.96580999999999995</v>
      </c>
    </row>
    <row r="10" spans="1:3" x14ac:dyDescent="0.25">
      <c r="A10" t="s">
        <v>23</v>
      </c>
      <c r="B10">
        <v>0.59387999999999996</v>
      </c>
    </row>
    <row r="11" spans="1:3" x14ac:dyDescent="0.25">
      <c r="A11" t="s">
        <v>23</v>
      </c>
      <c r="B11">
        <v>0.96469000000000005</v>
      </c>
    </row>
    <row r="12" spans="1:3" x14ac:dyDescent="0.25">
      <c r="A12" t="s">
        <v>23</v>
      </c>
      <c r="B12">
        <v>0.96580999999999995</v>
      </c>
    </row>
    <row r="13" spans="1:3" x14ac:dyDescent="0.25">
      <c r="A13" t="s">
        <v>24</v>
      </c>
      <c r="B13">
        <v>0.53820999999999997</v>
      </c>
      <c r="C13">
        <f>MAX(B13:B15)</f>
        <v>0.96679999999999999</v>
      </c>
    </row>
    <row r="14" spans="1:3" x14ac:dyDescent="0.25">
      <c r="A14" t="s">
        <v>24</v>
      </c>
      <c r="B14">
        <v>0.96197999999999995</v>
      </c>
    </row>
    <row r="15" spans="1:3" x14ac:dyDescent="0.25">
      <c r="A15" t="s">
        <v>24</v>
      </c>
      <c r="B15">
        <v>0.96679999999999999</v>
      </c>
    </row>
    <row r="16" spans="1:3" x14ac:dyDescent="0.25">
      <c r="A16" t="s">
        <v>25</v>
      </c>
      <c r="B16">
        <v>0.54798999999999998</v>
      </c>
      <c r="C16">
        <f>MAX(B16:B19)</f>
        <v>0.96231</v>
      </c>
    </row>
    <row r="17" spans="1:3" x14ac:dyDescent="0.25">
      <c r="A17" t="s">
        <v>25</v>
      </c>
      <c r="B17">
        <v>0.55501</v>
      </c>
    </row>
    <row r="18" spans="1:3" x14ac:dyDescent="0.25">
      <c r="A18" t="s">
        <v>25</v>
      </c>
      <c r="B18">
        <v>0.96167000000000002</v>
      </c>
    </row>
    <row r="19" spans="1:3" x14ac:dyDescent="0.25">
      <c r="A19" t="s">
        <v>25</v>
      </c>
      <c r="B19">
        <v>0.96231</v>
      </c>
    </row>
    <row r="20" spans="1:3" x14ac:dyDescent="0.25">
      <c r="A20" t="s">
        <v>15</v>
      </c>
      <c r="B20">
        <v>0.58098000000000005</v>
      </c>
      <c r="C20">
        <f>MAX(B20:B23)</f>
        <v>0.75034000000000001</v>
      </c>
    </row>
    <row r="21" spans="1:3" x14ac:dyDescent="0.25">
      <c r="A21" t="s">
        <v>15</v>
      </c>
      <c r="B21">
        <v>0.58501000000000003</v>
      </c>
    </row>
    <row r="22" spans="1:3" x14ac:dyDescent="0.25">
      <c r="A22" t="s">
        <v>15</v>
      </c>
      <c r="B22">
        <v>0.48826999999999998</v>
      </c>
    </row>
    <row r="23" spans="1:3" x14ac:dyDescent="0.25">
      <c r="A23" t="s">
        <v>15</v>
      </c>
      <c r="B23">
        <v>0.75034000000000001</v>
      </c>
    </row>
    <row r="24" spans="1:3" x14ac:dyDescent="0.25">
      <c r="A24" t="s">
        <v>26</v>
      </c>
      <c r="B24">
        <v>0.95779000000000003</v>
      </c>
      <c r="C24">
        <f>MAX(B24:B26)</f>
        <v>0.96431999999999995</v>
      </c>
    </row>
    <row r="25" spans="1:3" x14ac:dyDescent="0.25">
      <c r="A25" t="s">
        <v>26</v>
      </c>
      <c r="B25">
        <v>0.96277999999999997</v>
      </c>
    </row>
    <row r="26" spans="1:3" x14ac:dyDescent="0.25">
      <c r="A26" t="s">
        <v>26</v>
      </c>
      <c r="B26">
        <v>0.96431999999999995</v>
      </c>
    </row>
    <row r="27" spans="1:3" x14ac:dyDescent="0.25">
      <c r="A27" t="s">
        <v>14</v>
      </c>
      <c r="B27">
        <v>0.95098000000000005</v>
      </c>
      <c r="C27">
        <f>MAX(B27:B29)</f>
        <v>0.97979000000000005</v>
      </c>
    </row>
    <row r="28" spans="1:3" x14ac:dyDescent="0.25">
      <c r="A28" t="s">
        <v>14</v>
      </c>
      <c r="B28">
        <v>0.95459000000000005</v>
      </c>
    </row>
    <row r="29" spans="1:3" x14ac:dyDescent="0.25">
      <c r="A29" t="s">
        <v>14</v>
      </c>
      <c r="B29">
        <v>0.97979000000000005</v>
      </c>
    </row>
    <row r="30" spans="1:3" x14ac:dyDescent="0.25">
      <c r="A30" t="s">
        <v>27</v>
      </c>
      <c r="B30">
        <v>0.51185999999999998</v>
      </c>
      <c r="C30">
        <f>MAX(B30:B33)</f>
        <v>0.82213999999999998</v>
      </c>
    </row>
    <row r="31" spans="1:3" x14ac:dyDescent="0.25">
      <c r="A31" t="s">
        <v>27</v>
      </c>
      <c r="B31">
        <v>0.64922000000000002</v>
      </c>
    </row>
    <row r="32" spans="1:3" x14ac:dyDescent="0.25">
      <c r="A32" t="s">
        <v>27</v>
      </c>
      <c r="B32">
        <v>0.67037999999999998</v>
      </c>
    </row>
    <row r="33" spans="1:3" x14ac:dyDescent="0.25">
      <c r="A33" t="s">
        <v>27</v>
      </c>
      <c r="B33">
        <v>0.82213999999999998</v>
      </c>
    </row>
    <row r="34" spans="1:3" x14ac:dyDescent="0.25">
      <c r="A34" t="s">
        <v>16</v>
      </c>
      <c r="B34">
        <v>0.74521000000000004</v>
      </c>
      <c r="C34">
        <f>MAX(B34:B36)</f>
        <v>0.97790999999999995</v>
      </c>
    </row>
    <row r="35" spans="1:3" x14ac:dyDescent="0.25">
      <c r="A35" t="s">
        <v>16</v>
      </c>
      <c r="B35">
        <v>0.96238999999999997</v>
      </c>
    </row>
    <row r="36" spans="1:3" x14ac:dyDescent="0.25">
      <c r="A36" t="s">
        <v>16</v>
      </c>
      <c r="B36">
        <v>0.97790999999999995</v>
      </c>
    </row>
    <row r="37" spans="1:3" x14ac:dyDescent="0.25">
      <c r="A37" t="s">
        <v>28</v>
      </c>
      <c r="B37">
        <v>0.51105</v>
      </c>
      <c r="C37">
        <f>MAX(B37:B40)</f>
        <v>0.95711999999999997</v>
      </c>
    </row>
    <row r="38" spans="1:3" x14ac:dyDescent="0.25">
      <c r="A38" t="s">
        <v>28</v>
      </c>
      <c r="B38">
        <v>0.57008999999999999</v>
      </c>
    </row>
    <row r="39" spans="1:3" x14ac:dyDescent="0.25">
      <c r="A39" t="s">
        <v>28</v>
      </c>
      <c r="B39">
        <v>0.95633000000000001</v>
      </c>
    </row>
    <row r="40" spans="1:3" x14ac:dyDescent="0.25">
      <c r="A40" t="s">
        <v>28</v>
      </c>
      <c r="B40">
        <v>0.95711999999999997</v>
      </c>
    </row>
    <row r="41" spans="1:3" x14ac:dyDescent="0.25">
      <c r="A41" t="s">
        <v>29</v>
      </c>
      <c r="B41">
        <v>0.95520000000000005</v>
      </c>
      <c r="C41">
        <f>MAX(B41:B44)</f>
        <v>0.96694999999999998</v>
      </c>
    </row>
    <row r="42" spans="1:3" x14ac:dyDescent="0.25">
      <c r="A42" t="s">
        <v>29</v>
      </c>
      <c r="B42">
        <v>0.94615000000000005</v>
      </c>
    </row>
    <row r="43" spans="1:3" x14ac:dyDescent="0.25">
      <c r="A43" t="s">
        <v>29</v>
      </c>
      <c r="B43">
        <v>0.94364999999999999</v>
      </c>
    </row>
    <row r="44" spans="1:3" x14ac:dyDescent="0.25">
      <c r="A44" t="s">
        <v>29</v>
      </c>
      <c r="B44">
        <v>0.96694999999999998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Results</vt:lpstr>
      <vt:lpstr>Latex</vt:lpstr>
      <vt:lpstr>Arrhythmia</vt:lpstr>
      <vt:lpstr>Parkinson</vt:lpstr>
      <vt:lpstr>Shuttle</vt:lpstr>
      <vt:lpstr>WBC</vt:lpstr>
      <vt:lpstr>SpamBase</vt:lpstr>
      <vt:lpstr>WPBC</vt:lpstr>
      <vt:lpstr>HeartDisease</vt:lpstr>
      <vt:lpstr>Glass</vt:lpstr>
      <vt:lpstr>Hep</vt:lpstr>
      <vt:lpstr>Pima</vt:lpstr>
      <vt:lpstr>PenDigits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Hodge</dc:creator>
  <cp:lastModifiedBy>Karson Hodge</cp:lastModifiedBy>
  <dcterms:created xsi:type="dcterms:W3CDTF">2015-06-05T18:17:20Z</dcterms:created>
  <dcterms:modified xsi:type="dcterms:W3CDTF">2025-03-10T22:22:32Z</dcterms:modified>
</cp:coreProperties>
</file>