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/>
  <mc:AlternateContent xmlns:mc="http://schemas.openxmlformats.org/markup-compatibility/2006">
    <mc:Choice Requires="x15">
      <x15ac:absPath xmlns:x15ac="http://schemas.microsoft.com/office/spreadsheetml/2010/11/ac" url="C:\Users\khodg\OneDrive\Documents\Github\Outlier-Detection\"/>
    </mc:Choice>
  </mc:AlternateContent>
  <xr:revisionPtr revIDLastSave="0" documentId="13_ncr:1_{88172B05-BE62-4EC5-856F-8B26C56C219D}" xr6:coauthVersionLast="47" xr6:coauthVersionMax="47" xr10:uidLastSave="{00000000-0000-0000-0000-000000000000}"/>
  <bookViews>
    <workbookView xWindow="-19320" yWindow="-120" windowWidth="19440" windowHeight="1488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3" i="1" l="1"/>
  <c r="J13" i="1"/>
  <c r="I13" i="1"/>
  <c r="H13" i="1"/>
  <c r="J3" i="1"/>
  <c r="J4" i="1"/>
  <c r="J5" i="1"/>
  <c r="J6" i="1"/>
  <c r="J7" i="1"/>
  <c r="J8" i="1"/>
  <c r="J9" i="1"/>
  <c r="J10" i="1"/>
  <c r="J11" i="1"/>
  <c r="J12" i="1"/>
  <c r="J2" i="1"/>
  <c r="I3" i="1"/>
  <c r="I4" i="1"/>
  <c r="I5" i="1"/>
  <c r="I6" i="1"/>
  <c r="I7" i="1"/>
  <c r="I8" i="1"/>
  <c r="I9" i="1"/>
  <c r="I10" i="1"/>
  <c r="I11" i="1"/>
  <c r="I12" i="1"/>
  <c r="I2" i="1"/>
  <c r="G13" i="1"/>
  <c r="F3" i="1"/>
  <c r="F4" i="1"/>
  <c r="F5" i="1"/>
  <c r="F6" i="1"/>
  <c r="F7" i="1"/>
  <c r="F8" i="1"/>
  <c r="F9" i="1"/>
  <c r="F10" i="1"/>
  <c r="F11" i="1"/>
  <c r="F12" i="1"/>
  <c r="F2" i="1"/>
  <c r="C13" i="1"/>
  <c r="L13" i="1"/>
  <c r="B13" i="1"/>
  <c r="F13" i="1" s="1"/>
</calcChain>
</file>

<file path=xl/sharedStrings.xml><?xml version="1.0" encoding="utf-8"?>
<sst xmlns="http://schemas.openxmlformats.org/spreadsheetml/2006/main" count="36" uniqueCount="29">
  <si>
    <t>Arrhy</t>
  </si>
  <si>
    <t>Parkinson</t>
  </si>
  <si>
    <t>Shuttle</t>
  </si>
  <si>
    <t>WBC</t>
  </si>
  <si>
    <t>SpamBase</t>
  </si>
  <si>
    <t>WPBC</t>
  </si>
  <si>
    <t>HeartDisease</t>
  </si>
  <si>
    <t>Glass</t>
  </si>
  <si>
    <t>Hep</t>
  </si>
  <si>
    <t>Pima</t>
  </si>
  <si>
    <t>PenDigits</t>
  </si>
  <si>
    <t>Dataset</t>
  </si>
  <si>
    <t>Skewed Normal</t>
  </si>
  <si>
    <t>Gamma</t>
  </si>
  <si>
    <t>KNN</t>
  </si>
  <si>
    <t>FastABOD</t>
  </si>
  <si>
    <t>LDOF</t>
  </si>
  <si>
    <t>LDF</t>
  </si>
  <si>
    <t>SN R^2 Q-Q</t>
  </si>
  <si>
    <t>Gamma R^2 Q-Q</t>
  </si>
  <si>
    <t>Paper Best</t>
  </si>
  <si>
    <t>Best-Algo</t>
  </si>
  <si>
    <t>Difference Skewed Normal</t>
  </si>
  <si>
    <t>Gamma uses manhattan distance</t>
  </si>
  <si>
    <t>Difference Best Algo</t>
  </si>
  <si>
    <t>Difference KNN</t>
  </si>
  <si>
    <r>
      <t>Gamma R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Q-Q</t>
    </r>
  </si>
  <si>
    <t>Paper-KNN</t>
  </si>
  <si>
    <t>Gamma AUC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</si>
</sst>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-* #,##0.0_-;\-* #,##0.0_-;_-* &quot;-&quot;??_-;_-@_-"/>
    <numFmt numFmtId="165" formatCode="_-* #,##0.0000_-;\-* #,##0.0000_-;_-* &quot;-&quot;??_-;_-@_-"/>
    <numFmt numFmtId="166" formatCode="_-* #,##0.000000_-;\-* #,##0.000000_-;_-* &quot;-&quot;??_-;_-@_-"/>
    <numFmt numFmtId="167" formatCode="0.000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">
    <xf numFmtId="0" fontId="0" fillId="0" borderId="0" xfId="0"/>
    <xf numFmtId="165" fontId="0" fillId="0" borderId="0" xfId="1" applyNumberFormat="1" applyFon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164" fontId="0" fillId="0" borderId="0" xfId="0" applyNumberForma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7"/>
  <sheetViews>
    <sheetView tabSelected="1" workbookViewId="0">
      <selection activeCell="G2" sqref="G2"/>
    </sheetView>
  </sheetViews>
  <sheetFormatPr defaultRowHeight="15" x14ac:dyDescent="0.25"/>
  <cols>
    <col min="1" max="1" width="14" customWidth="1"/>
    <col min="2" max="3" width="15.140625" hidden="1" customWidth="1"/>
    <col min="4" max="4" width="13.85546875" hidden="1" customWidth="1"/>
    <col min="5" max="5" width="15.5703125" hidden="1" customWidth="1"/>
    <col min="6" max="6" width="25.85546875" hidden="1" customWidth="1"/>
    <col min="7" max="7" width="25.85546875" customWidth="1"/>
    <col min="8" max="8" width="25" customWidth="1"/>
    <col min="9" max="10" width="25.85546875" customWidth="1"/>
    <col min="11" max="11" width="10.85546875" customWidth="1"/>
    <col min="12" max="12" width="13.42578125" customWidth="1"/>
    <col min="13" max="13" width="10.5703125" customWidth="1"/>
  </cols>
  <sheetData>
    <row r="1" spans="1:13" ht="17.25" x14ac:dyDescent="0.25">
      <c r="A1" t="s">
        <v>11</v>
      </c>
      <c r="B1" t="s">
        <v>12</v>
      </c>
      <c r="C1" t="s">
        <v>18</v>
      </c>
      <c r="D1" t="s">
        <v>13</v>
      </c>
      <c r="E1" t="s">
        <v>19</v>
      </c>
      <c r="F1" t="s">
        <v>22</v>
      </c>
      <c r="G1" t="s">
        <v>28</v>
      </c>
      <c r="H1" t="s">
        <v>26</v>
      </c>
      <c r="I1" t="s">
        <v>24</v>
      </c>
      <c r="J1" t="s">
        <v>25</v>
      </c>
      <c r="K1" t="s">
        <v>21</v>
      </c>
      <c r="L1" t="s">
        <v>20</v>
      </c>
      <c r="M1" t="s">
        <v>27</v>
      </c>
    </row>
    <row r="2" spans="1:13" x14ac:dyDescent="0.25">
      <c r="A2" t="s">
        <v>0</v>
      </c>
      <c r="B2">
        <v>0.76202650007957895</v>
      </c>
      <c r="C2">
        <v>0.93830000000000002</v>
      </c>
      <c r="D2">
        <v>0.76108148973420298</v>
      </c>
      <c r="E2">
        <v>0.98860000000000003</v>
      </c>
      <c r="F2" s="2">
        <f>B2-L2</f>
        <v>1.0026500079578948E-2</v>
      </c>
      <c r="G2" s="3">
        <v>0.76108148973420298</v>
      </c>
      <c r="H2" s="2">
        <v>0.97450000000000003</v>
      </c>
      <c r="I2" s="3">
        <f>G2-L2</f>
        <v>9.0814897342029743E-3</v>
      </c>
      <c r="J2" s="3">
        <f>G2-M2</f>
        <v>9.0814897342029743E-3</v>
      </c>
      <c r="K2" t="s">
        <v>14</v>
      </c>
      <c r="L2" s="1">
        <v>0.752</v>
      </c>
      <c r="M2" s="1">
        <v>0.752</v>
      </c>
    </row>
    <row r="3" spans="1:13" x14ac:dyDescent="0.25">
      <c r="A3" t="s">
        <v>1</v>
      </c>
      <c r="B3">
        <v>0.739654195011337</v>
      </c>
      <c r="C3">
        <v>0.81930000000000003</v>
      </c>
      <c r="D3">
        <v>0.73816609977324199</v>
      </c>
      <c r="E3">
        <v>0.88660000000000005</v>
      </c>
      <c r="F3" s="2">
        <f t="shared" ref="F3:F12" si="0">B3-L3</f>
        <v>6.9654195011336961E-2</v>
      </c>
      <c r="G3" s="3">
        <v>0.73816609977324199</v>
      </c>
      <c r="H3" s="2">
        <v>0.85409999999999997</v>
      </c>
      <c r="I3" s="3">
        <f t="shared" ref="I3:I12" si="1">G3-L3</f>
        <v>6.816609977324195E-2</v>
      </c>
      <c r="J3" s="3">
        <f>G3-M3</f>
        <v>8.5816099773242005E-2</v>
      </c>
      <c r="K3" t="s">
        <v>15</v>
      </c>
      <c r="L3" s="1">
        <v>0.67</v>
      </c>
      <c r="M3">
        <v>0.65234999999999999</v>
      </c>
    </row>
    <row r="4" spans="1:13" x14ac:dyDescent="0.25">
      <c r="A4" t="s">
        <v>2</v>
      </c>
      <c r="B4">
        <v>0.84561538461538399</v>
      </c>
      <c r="C4">
        <v>0.65539999999999998</v>
      </c>
      <c r="D4">
        <v>0.82015384615384601</v>
      </c>
      <c r="F4" s="2">
        <f t="shared" si="0"/>
        <v>-1.9246153846159686E-3</v>
      </c>
      <c r="G4" s="3">
        <v>0.82015384615384601</v>
      </c>
      <c r="H4" s="2">
        <v>0.72499999999999998</v>
      </c>
      <c r="I4" s="3">
        <f t="shared" si="1"/>
        <v>-2.7386153846153949E-2</v>
      </c>
      <c r="J4" s="3">
        <f>G4-M4</f>
        <v>2.5338461538459978E-3</v>
      </c>
      <c r="K4" t="s">
        <v>16</v>
      </c>
      <c r="L4" s="1">
        <v>0.84753999999999996</v>
      </c>
      <c r="M4">
        <v>0.81762000000000001</v>
      </c>
    </row>
    <row r="5" spans="1:13" x14ac:dyDescent="0.25">
      <c r="A5" t="s">
        <v>3</v>
      </c>
      <c r="B5">
        <v>0.99248826291079795</v>
      </c>
      <c r="C5">
        <v>0.72529999999999994</v>
      </c>
      <c r="D5">
        <v>0.99859154929577398</v>
      </c>
      <c r="F5" s="2">
        <f t="shared" si="0"/>
        <v>-4.6917370892020083E-3</v>
      </c>
      <c r="G5" s="3">
        <v>0.99859154929577398</v>
      </c>
      <c r="H5" s="2">
        <v>0.98670000000000002</v>
      </c>
      <c r="I5" s="3">
        <f t="shared" si="1"/>
        <v>1.4115492957740283E-3</v>
      </c>
      <c r="J5" s="3">
        <f>G5-M5</f>
        <v>1.4115492957740283E-3</v>
      </c>
      <c r="K5" t="s">
        <v>17</v>
      </c>
      <c r="L5" s="1">
        <v>0.99717999999999996</v>
      </c>
      <c r="M5">
        <v>0.99717999999999996</v>
      </c>
    </row>
    <row r="6" spans="1:13" x14ac:dyDescent="0.25">
      <c r="A6" t="s">
        <v>4</v>
      </c>
      <c r="B6">
        <v>0.65074936765404301</v>
      </c>
      <c r="C6">
        <v>0.88929999999999998</v>
      </c>
      <c r="F6" s="2">
        <f t="shared" si="0"/>
        <v>7.7279367654042974E-2</v>
      </c>
      <c r="G6" s="3">
        <v>0.65000947105344398</v>
      </c>
      <c r="H6" s="2">
        <v>0.92220000000000002</v>
      </c>
      <c r="I6" s="3">
        <f t="shared" si="1"/>
        <v>7.6539471053443942E-2</v>
      </c>
      <c r="J6" s="3">
        <f>G6-M6</f>
        <v>7.6539471053443942E-2</v>
      </c>
      <c r="K6" t="s">
        <v>14</v>
      </c>
      <c r="L6" s="1">
        <v>0.57347000000000004</v>
      </c>
      <c r="M6">
        <v>0.57347000000000004</v>
      </c>
    </row>
    <row r="7" spans="1:13" x14ac:dyDescent="0.25">
      <c r="A7" t="s">
        <v>5</v>
      </c>
      <c r="B7">
        <v>0.52937861068056902</v>
      </c>
      <c r="C7">
        <v>0.95530000000000004</v>
      </c>
      <c r="F7" s="2">
        <f t="shared" si="0"/>
        <v>-5.3541389319430976E-2</v>
      </c>
      <c r="G7" s="3">
        <v>0.53156263209806898</v>
      </c>
      <c r="H7" s="2">
        <v>0.98599999999999999</v>
      </c>
      <c r="I7" s="3">
        <f t="shared" si="1"/>
        <v>-5.1357367901931017E-2</v>
      </c>
      <c r="J7" s="3">
        <f>G7-M7</f>
        <v>-9.3373679019310707E-3</v>
      </c>
      <c r="K7" t="s">
        <v>17</v>
      </c>
      <c r="L7" s="1">
        <v>0.58291999999999999</v>
      </c>
      <c r="M7" s="4">
        <v>0.54090000000000005</v>
      </c>
    </row>
    <row r="8" spans="1:13" x14ac:dyDescent="0.25">
      <c r="A8" t="s">
        <v>6</v>
      </c>
      <c r="B8">
        <v>0.698888888888889</v>
      </c>
      <c r="C8">
        <v>0.99519999999999997</v>
      </c>
      <c r="F8" s="2">
        <f t="shared" si="0"/>
        <v>-5.6781111111110949E-2</v>
      </c>
      <c r="G8" s="3">
        <v>0.70016666666666605</v>
      </c>
      <c r="H8" s="2">
        <v>0.99390000000000001</v>
      </c>
      <c r="I8" s="3">
        <f t="shared" si="1"/>
        <v>-5.5503333333333904E-2</v>
      </c>
      <c r="J8" s="3">
        <f>G8-M8</f>
        <v>1.6336666666666E-2</v>
      </c>
      <c r="K8" t="s">
        <v>15</v>
      </c>
      <c r="L8" s="1">
        <v>0.75566999999999995</v>
      </c>
      <c r="M8">
        <v>0.68383000000000005</v>
      </c>
    </row>
    <row r="9" spans="1:13" x14ac:dyDescent="0.25">
      <c r="A9" t="s">
        <v>7</v>
      </c>
      <c r="B9">
        <v>0.87723577235772299</v>
      </c>
      <c r="C9">
        <v>0.8196</v>
      </c>
      <c r="F9" s="2">
        <f t="shared" si="0"/>
        <v>-2.6284227642277003E-2</v>
      </c>
      <c r="G9" s="3">
        <v>0.88048780487804801</v>
      </c>
      <c r="H9" s="2">
        <v>0.93869999999999998</v>
      </c>
      <c r="I9" s="3">
        <f t="shared" si="1"/>
        <v>-2.3032195121951982E-2</v>
      </c>
      <c r="J9" s="3">
        <f>G9-M9</f>
        <v>5.6878048780479862E-3</v>
      </c>
      <c r="K9" t="s">
        <v>17</v>
      </c>
      <c r="L9" s="1">
        <v>0.90351999999999999</v>
      </c>
      <c r="M9">
        <v>0.87480000000000002</v>
      </c>
    </row>
    <row r="10" spans="1:13" x14ac:dyDescent="0.25">
      <c r="A10" t="s">
        <v>8</v>
      </c>
      <c r="B10">
        <v>0.785304247990815</v>
      </c>
      <c r="C10">
        <v>0.96850000000000003</v>
      </c>
      <c r="F10" s="2">
        <f t="shared" si="0"/>
        <v>-4.3625752009184948E-2</v>
      </c>
      <c r="G10" s="3">
        <v>0.78473019517795595</v>
      </c>
      <c r="H10" s="2">
        <v>0.93610000000000004</v>
      </c>
      <c r="I10" s="3">
        <f t="shared" si="1"/>
        <v>-4.4199804822043998E-2</v>
      </c>
      <c r="J10" s="3">
        <f>G10-M10</f>
        <v>-1.149804822044076E-3</v>
      </c>
      <c r="K10" t="s">
        <v>17</v>
      </c>
      <c r="L10" s="1">
        <v>0.82892999999999994</v>
      </c>
      <c r="M10">
        <v>0.78588000000000002</v>
      </c>
    </row>
    <row r="11" spans="1:13" x14ac:dyDescent="0.25">
      <c r="A11" t="s">
        <v>9</v>
      </c>
      <c r="B11">
        <v>0.73526865671641695</v>
      </c>
      <c r="C11">
        <v>0.99199999999999999</v>
      </c>
      <c r="F11" s="2">
        <f t="shared" si="0"/>
        <v>-2.554134328358304E-2</v>
      </c>
      <c r="G11" s="3">
        <v>0.73591417910447698</v>
      </c>
      <c r="H11" s="2">
        <v>0.997</v>
      </c>
      <c r="I11" s="3">
        <f t="shared" si="1"/>
        <v>-2.4895820895523002E-2</v>
      </c>
      <c r="J11" s="3">
        <f>G11-M11</f>
        <v>3.6741791044769823E-3</v>
      </c>
      <c r="K11" t="s">
        <v>15</v>
      </c>
      <c r="L11" s="1">
        <v>0.76080999999999999</v>
      </c>
      <c r="M11">
        <v>0.73224</v>
      </c>
    </row>
    <row r="12" spans="1:13" x14ac:dyDescent="0.25">
      <c r="A12" t="s">
        <v>10</v>
      </c>
      <c r="B12">
        <v>0.98239490251827699</v>
      </c>
      <c r="C12">
        <v>0.97070000000000001</v>
      </c>
      <c r="F12" s="2">
        <f t="shared" si="0"/>
        <v>-9.7250974817230107E-3</v>
      </c>
      <c r="G12" s="3">
        <v>0.98260560519902496</v>
      </c>
      <c r="H12" s="2">
        <v>0.97860000000000003</v>
      </c>
      <c r="I12" s="3">
        <f t="shared" si="1"/>
        <v>-9.5143948009750456E-3</v>
      </c>
      <c r="J12" s="3">
        <f>G12-M12</f>
        <v>-9.5143948009750456E-3</v>
      </c>
      <c r="K12" t="s">
        <v>14</v>
      </c>
      <c r="L12" s="1">
        <v>0.99212</v>
      </c>
      <c r="M12" s="1">
        <v>0.99212</v>
      </c>
    </row>
    <row r="13" spans="1:13" x14ac:dyDescent="0.25">
      <c r="B13">
        <f>AVERAGE(B2:B12)</f>
        <v>0.78172770812943915</v>
      </c>
      <c r="C13">
        <f>AVERAGE(C2:C12)</f>
        <v>0.88444545454545453</v>
      </c>
      <c r="F13" s="2">
        <f>B13-L13</f>
        <v>-5.9232009614700321E-3</v>
      </c>
      <c r="G13" s="3">
        <f>AVERAGE(G2:G12)</f>
        <v>0.7803154126486137</v>
      </c>
      <c r="H13" s="2">
        <f>AVERAGE(H2:H12)</f>
        <v>0.93570909090909093</v>
      </c>
      <c r="I13" s="5">
        <f>COUNTIF(I2:I12,"&gt;0")</f>
        <v>4</v>
      </c>
      <c r="J13" s="5">
        <f>COUNTIF(J2:J12,"&gt;0")</f>
        <v>8</v>
      </c>
      <c r="L13" s="1">
        <f>AVERAGE(L2:L12)</f>
        <v>0.78765090909090918</v>
      </c>
      <c r="M13" s="2">
        <f>AVERAGE(M2:M12)</f>
        <v>0.76385363636363646</v>
      </c>
    </row>
    <row r="17" spans="1:1" x14ac:dyDescent="0.25">
      <c r="A17" t="s">
        <v>23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Karson Hodge</dc:creator>
  <cp:lastModifiedBy>Karson Hodge</cp:lastModifiedBy>
  <dcterms:created xsi:type="dcterms:W3CDTF">2015-06-05T18:17:20Z</dcterms:created>
  <dcterms:modified xsi:type="dcterms:W3CDTF">2025-03-05T07:54:39Z</dcterms:modified>
</cp:coreProperties>
</file>