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BC4EBCA5-33E2-4615-B118-0418F7137231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4" l="1"/>
  <c r="B45" i="14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<sst xmlns="http://schemas.openxmlformats.org/spreadsheetml/2006/main" count="530" uniqueCount="38">
  <si>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</si>
  <si>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</si>
  <si>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</si>
  <si>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</si>
  <si>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</si>
  <si>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</si>
  <si>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</si>
  <si>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</si>
  <si>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</si>
  <si>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</si>
  <si>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</si>
  <si>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</si>
  <si>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</si>
  <si>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</si>
  <si>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</si>
  <si>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</si>
  <si>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</si>
  <si>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</si>
  <si>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</si>
  <si>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</si>
  <si>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</si>
  <si>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</si>
  <si>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</si>
  <si>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</si>
  <si>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</si>
  <si>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</si>
  <si>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</si>
  <si>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</si>
  <si>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</si>
  <si>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</si>
  <si>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</si>
  <si>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</si>
  <si>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</si>
  <si>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</si>
  <si>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</si>
  <si>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</si>
  <si>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</si>
  <si>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Gamma ROC 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</si>
</sst>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0" fontId="0" fillId="0" borderId="1" xfId="0" applyBorder="1" applyAlignment="1">
      <alignment horizontal="center"/>
    </xf>
    <xf numFmtId="9" fontId="0" fillId="0" borderId="0" xfId="2" applyFont="1"/>
  </cellXfs>
  <cellStyles count="3">
    <cellStyle name="Comma" xfId="1" builtinId="3"/>
    <cellStyle name="Normal" xfId="0" builtinId="0"/>
    <cellStyle name="Per cent" xfId="2" builtinId="5"/>
  </cellStyles>
  <dxfs count="2"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O45"/>
  <sheetViews>
    <sheetView tabSelected="1" workbookViewId="0">
      <selection activeCell="N24" sqref="N24"/>
    </sheetView>
  </sheetViews>
  <sheetFormatPr defaultRowHeight="15" x14ac:dyDescent="0.25"/>
  <cols>
    <col min="1" max="1" width="11.5703125" customWidth="1"/>
    <col min="2" max="2" width="18" customWidth="1"/>
    <col min="14" max="14" width="16.5703125" customWidth="1"/>
    <col min="15" max="15" width="18.28515625" customWidth="1"/>
  </cols>
  <sheetData>
    <row r="1" spans="1:15" x14ac:dyDescent="0.25">
      <c r="A1" s="4"/>
      <c r="B1" s="6" t="s">
        <v>33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 t="s">
        <v>34</v>
      </c>
      <c r="O1" s="6"/>
    </row>
    <row r="2" spans="1:15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37</v>
      </c>
      <c r="O2" s="4" t="s">
        <v>32</v>
      </c>
    </row>
    <row r="3" spans="1:15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</row>
    <row r="4" spans="1:15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</row>
    <row r="5" spans="1:15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</row>
    <row r="6" spans="1:15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</row>
    <row r="7" spans="1:15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</row>
    <row r="8" spans="1:15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</row>
    <row r="9" spans="1:15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</row>
    <row r="10" spans="1:15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</row>
    <row r="11" spans="1:15" x14ac:dyDescent="0.25">
      <c r="A11" t="s">
        <v>8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</row>
    <row r="12" spans="1:15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</row>
    <row r="13" spans="1:15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</row>
    <row r="14" spans="1:15" x14ac:dyDescent="0.2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</row>
    <row r="18" spans="2:14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Arrhythmia','Parkinson','Shuttle','WBC','SpamBase','WPBC','HeartDisease','Glass','Hep','Pima','PenDigits</v>
      </c>
    </row>
    <row r="19" spans="2:14" x14ac:dyDescent="0.2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4" x14ac:dyDescent="0.25">
      <c r="B20" t="str">
        <f t="shared" si="1"/>
        <v>[0.81762,0.72785,0.78208,0.76608,0.78992,0.84754,0.789,0.316,0.69192,0.71585,0.79885,0.63969,0.820153846153846]</v>
      </c>
    </row>
    <row r="21" spans="2:14" x14ac:dyDescent="0.25">
      <c r="B21" t="str">
        <f t="shared" si="1"/>
        <v>[0.99718,0.99718,0.99671,0.9939,0.98028,0.96526,0.96737,0.99484,0.64789,0.99718,0.9939,0.99437,0.998591549295774]</v>
      </c>
    </row>
    <row r="22" spans="2:14" x14ac:dyDescent="0.25">
      <c r="B22" t="str">
        <f t="shared" si="1"/>
        <v>[0.57347,0.56618,0.47384,0.50119,0.49658,0.4796,0.5191,0.43721,0.47667,0.53641,0.47381,0.49945,0.650009471053444]</v>
      </c>
    </row>
    <row r="23" spans="2:14" x14ac:dyDescent="0.25">
      <c r="B23" t="str">
        <f t="shared" si="1"/>
        <v>[0.5409,0.53191,0.52543,0.50183,0.50183,0.50345,0.50726,0.53417,0.51853,0.58292,0.4957,0.55686,0.531562632098069]</v>
      </c>
    </row>
    <row r="24" spans="2:14" x14ac:dyDescent="0.25">
      <c r="B24" t="str">
        <f t="shared" si="1"/>
        <v>[0.68383,0.66883,0.65583,0.56933,0.56139,0.56906,0.60592,0.75567,0.55694,0.72056,0.55967,0.71683,0.700166666666666]</v>
      </c>
      <c r="N24" s="7">
        <f>N8-K8</f>
        <v>-5.1357367901931017E-2</v>
      </c>
    </row>
    <row r="25" spans="2:14" x14ac:dyDescent="0.25">
      <c r="B25" t="str">
        <f t="shared" si="1"/>
        <v>[0.8748,0.8832,0.86667,0.86504,0.83957,0.77886,0.72927,0.85799,0.74201,0.90352,0.80379,0.89539,0.880487804878048]</v>
      </c>
    </row>
    <row r="26" spans="2:14" x14ac:dyDescent="0.25">
      <c r="B26" t="str">
        <f t="shared" si="1"/>
        <v>[0.78588,0.74856,0.80367,0.73823,0.72331,0.73823,0.74971,0.70953,0.71183,0.82893,0.60276,0.82721,0.784730195177956]</v>
      </c>
    </row>
    <row r="27" spans="2:14" x14ac:dyDescent="0.25">
      <c r="B27" t="str">
        <f t="shared" si="1"/>
        <v>[0.73224,0.72944,0.68955,0.62131,0.60922,0.57004,0.63637,0.76081,0.55621,0.72888,0.61728,0.70121,0.735914179104477]</v>
      </c>
    </row>
    <row r="28" spans="2:14" x14ac:dyDescent="0.25">
      <c r="B28" t="str">
        <f t="shared" si="1"/>
        <v>[0.99212,0.9916,0.96581,0.9668,0.96231,0.75034,0.96432,0.97979,0.82214,0.97791,0.95712,0.96695,0.982605605199025]</v>
      </c>
    </row>
    <row r="31" spans="2:14" x14ac:dyDescent="0.25">
      <c r="B31" t="str">
        <f>_xlfn.TEXTJOIN("','",TRUE,B2:N2)</f>
        <v>KNN','KNNW','LOF','SimplifiedLOF','LoOP','LDOF','ODIN','FastABOD','KDEOS','LDF','INFLO','COF','Gamma ROC AUC</v>
      </c>
    </row>
    <row r="33" spans="1:2" ht="17.25" x14ac:dyDescent="0.25">
      <c r="A33" s="4" t="s">
        <v>11</v>
      </c>
      <c r="B33" s="4" t="s">
        <v>32</v>
      </c>
    </row>
    <row r="34" spans="1:2" x14ac:dyDescent="0.25">
      <c r="A34" t="s">
        <v>35</v>
      </c>
      <c r="B34" s="2">
        <v>0.97450000000000003</v>
      </c>
    </row>
    <row r="35" spans="1:2" x14ac:dyDescent="0.25">
      <c r="A35" t="s">
        <v>1</v>
      </c>
      <c r="B35" s="2">
        <v>0.85409999999999997</v>
      </c>
    </row>
    <row r="36" spans="1:2" x14ac:dyDescent="0.25">
      <c r="A36" t="s">
        <v>2</v>
      </c>
      <c r="B36" s="2">
        <v>0.72499999999999998</v>
      </c>
    </row>
    <row r="37" spans="1:2" x14ac:dyDescent="0.25">
      <c r="A37" t="s">
        <v>3</v>
      </c>
      <c r="B37" s="2">
        <v>0.98670000000000002</v>
      </c>
    </row>
    <row r="38" spans="1:2" x14ac:dyDescent="0.25">
      <c r="A38" t="s">
        <v>4</v>
      </c>
      <c r="B38" s="2">
        <v>0.92220000000000002</v>
      </c>
    </row>
    <row r="39" spans="1:2" x14ac:dyDescent="0.25">
      <c r="A39" t="s">
        <v>5</v>
      </c>
      <c r="B39" s="2">
        <v>0.98599999999999999</v>
      </c>
    </row>
    <row r="40" spans="1:2" x14ac:dyDescent="0.25">
      <c r="A40" t="s">
        <v>6</v>
      </c>
      <c r="B40" s="2">
        <v>0.99390000000000001</v>
      </c>
    </row>
    <row r="41" spans="1:2" x14ac:dyDescent="0.25">
      <c r="A41" t="s">
        <v>7</v>
      </c>
      <c r="B41" s="2">
        <v>0.93869999999999998</v>
      </c>
    </row>
    <row r="42" spans="1:2" x14ac:dyDescent="0.25">
      <c r="A42" t="s">
        <v>8</v>
      </c>
      <c r="B42" s="2">
        <v>0.93610000000000004</v>
      </c>
    </row>
    <row r="43" spans="1:2" x14ac:dyDescent="0.25">
      <c r="A43" t="s">
        <v>9</v>
      </c>
      <c r="B43" s="2">
        <v>0.997</v>
      </c>
    </row>
    <row r="44" spans="1:2" x14ac:dyDescent="0.25">
      <c r="A44" t="s">
        <v>10</v>
      </c>
      <c r="B44" s="2">
        <v>0.97860000000000003</v>
      </c>
    </row>
    <row r="45" spans="1:2" x14ac:dyDescent="0.2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B1:N32 B46:N1048576 C33:N45">
    <cfRule type="expression" dxfId="1" priority="2">
      <formula>B1=MAX($B1:$N1)</formula>
    </cfRule>
  </conditionalFormatting>
  <conditionalFormatting sqref="G5">
    <cfRule type="expression" dxfId="0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3" workbookViewId="0">
      <selection activeCell="G22" sqref="G22"/>
    </sheetView>
  </sheetViews>
  <sheetFormatPr defaultRowHeight="15" x14ac:dyDescent="0.25"/>
  <sheetData>
    <row r="1" spans="1:4" x14ac:dyDescent="0.25">
      <c r="A1" t="s">
        <v>20</v>
      </c>
      <c r="B1" t="s">
        <v>21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22</v>
      </c>
      <c r="B6">
        <v>0.74456999999999995</v>
      </c>
    </row>
    <row r="7" spans="1:4" x14ac:dyDescent="0.25">
      <c r="A7" t="s">
        <v>22</v>
      </c>
      <c r="B7">
        <v>0.74836999999999998</v>
      </c>
    </row>
    <row r="8" spans="1:4" x14ac:dyDescent="0.25">
      <c r="A8" t="s">
        <v>22</v>
      </c>
      <c r="B8">
        <v>0.75007999999999997</v>
      </c>
      <c r="D8">
        <f>MAX(B6:B9)</f>
        <v>0.75007999999999997</v>
      </c>
    </row>
    <row r="9" spans="1:4" x14ac:dyDescent="0.25">
      <c r="A9" t="s">
        <v>22</v>
      </c>
      <c r="B9">
        <v>0.75007999999999997</v>
      </c>
    </row>
    <row r="10" spans="1:4" x14ac:dyDescent="0.25">
      <c r="A10" t="s">
        <v>23</v>
      </c>
      <c r="B10">
        <v>0.71584000000000003</v>
      </c>
    </row>
    <row r="11" spans="1:4" x14ac:dyDescent="0.25">
      <c r="A11" t="s">
        <v>23</v>
      </c>
      <c r="B11">
        <v>0.72428000000000003</v>
      </c>
    </row>
    <row r="12" spans="1:4" x14ac:dyDescent="0.25">
      <c r="A12" t="s">
        <v>23</v>
      </c>
      <c r="B12">
        <v>0.74421000000000004</v>
      </c>
      <c r="D12">
        <f>MAX(B10:B13)</f>
        <v>0.74421000000000004</v>
      </c>
    </row>
    <row r="13" spans="1:4" x14ac:dyDescent="0.25">
      <c r="A13" t="s">
        <v>23</v>
      </c>
      <c r="B13">
        <v>0.74414999999999998</v>
      </c>
    </row>
    <row r="14" spans="1:4" x14ac:dyDescent="0.25">
      <c r="A14" t="s">
        <v>24</v>
      </c>
      <c r="B14">
        <v>0.71930000000000005</v>
      </c>
    </row>
    <row r="15" spans="1:4" x14ac:dyDescent="0.25">
      <c r="A15" t="s">
        <v>24</v>
      </c>
      <c r="B15">
        <v>0.73812</v>
      </c>
    </row>
    <row r="16" spans="1:4" x14ac:dyDescent="0.25">
      <c r="A16" t="s">
        <v>24</v>
      </c>
      <c r="B16">
        <v>0.74339</v>
      </c>
      <c r="D16">
        <f>MAX(B14:B17)</f>
        <v>0.74339</v>
      </c>
    </row>
    <row r="17" spans="1:4" x14ac:dyDescent="0.25">
      <c r="A17" t="s">
        <v>24</v>
      </c>
      <c r="B17">
        <v>0.74319999999999997</v>
      </c>
    </row>
    <row r="18" spans="1:4" x14ac:dyDescent="0.25">
      <c r="A18" t="s">
        <v>25</v>
      </c>
      <c r="B18">
        <v>0.71847000000000005</v>
      </c>
    </row>
    <row r="19" spans="1:4" x14ac:dyDescent="0.25">
      <c r="A19" t="s">
        <v>25</v>
      </c>
      <c r="B19">
        <v>0.73836000000000002</v>
      </c>
    </row>
    <row r="20" spans="1:4" x14ac:dyDescent="0.25">
      <c r="A20" t="s">
        <v>25</v>
      </c>
      <c r="B20">
        <v>0.74111000000000005</v>
      </c>
      <c r="D20">
        <f>MAX(B18:B21)</f>
        <v>0.74111000000000005</v>
      </c>
    </row>
    <row r="21" spans="1:4" x14ac:dyDescent="0.25">
      <c r="A21" t="s">
        <v>25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26</v>
      </c>
      <c r="B25">
        <v>0.71862999999999999</v>
      </c>
      <c r="D25">
        <f>MAX(B25:B27)</f>
        <v>0.72668999999999995</v>
      </c>
    </row>
    <row r="26" spans="1:4" x14ac:dyDescent="0.25">
      <c r="A26" t="s">
        <v>26</v>
      </c>
      <c r="B26">
        <v>0.72275999999999996</v>
      </c>
    </row>
    <row r="27" spans="1:4" x14ac:dyDescent="0.25">
      <c r="A27" t="s">
        <v>26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27</v>
      </c>
      <c r="B30">
        <v>0.65053000000000005</v>
      </c>
      <c r="D30">
        <f>MAX(B30:B31)</f>
        <v>0.66100999999999999</v>
      </c>
    </row>
    <row r="31" spans="1:4" x14ac:dyDescent="0.25">
      <c r="A31" t="s">
        <v>27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2025-03-10T04:09:18Z</dcterms:modified>
</cp:coreProperties>
</file>