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/>
  <mc:AlternateContent xmlns:mc="http://schemas.openxmlformats.org/markup-compatibility/2006">
    <mc:Choice Requires="x15">
      <x15ac:absPath xmlns:x15ac="http://schemas.microsoft.com/office/spreadsheetml/2010/11/ac" url="C:\Users\khodg\OneDrive\Documents\Github\Outlier-Detection\"/>
    </mc:Choice>
  </mc:AlternateContent>
  <xr:revisionPtr revIDLastSave="0" documentId="13_ncr:1_{E029DDA5-1006-487A-BF27-0EBDCC949AE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esults" sheetId="1" r:id="rId1"/>
    <sheet name="Arrhythmia" sheetId="2" r:id="rId2"/>
    <sheet name="Parkinson" sheetId="3" r:id="rId3"/>
    <sheet name="Shuttle" sheetId="4" r:id="rId4"/>
    <sheet name="WBC" sheetId="5" r:id="rId5"/>
    <sheet name="SpamBase" sheetId="6" r:id="rId6"/>
    <sheet name="WPBC" sheetId="7" r:id="rId7"/>
    <sheet name="HeartDisease" sheetId="8" r:id="rId8"/>
    <sheet name="Glass" sheetId="9" r:id="rId9"/>
    <sheet name="Hep" sheetId="10" r:id="rId10"/>
    <sheet name="Pima" sheetId="11" r:id="rId11"/>
    <sheet name="PenDigits" sheetId="12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3" i="1" l="1"/>
  <c r="W13" i="1"/>
  <c r="V13" i="1"/>
  <c r="U13" i="1"/>
  <c r="T13" i="1"/>
  <c r="S13" i="1"/>
  <c r="D25" i="2"/>
  <c r="R13" i="1"/>
  <c r="Q13" i="1"/>
  <c r="P13" i="1"/>
  <c r="O13" i="1"/>
  <c r="N13" i="1"/>
  <c r="C41" i="12"/>
  <c r="C37" i="12"/>
  <c r="C34" i="12"/>
  <c r="C30" i="12"/>
  <c r="C27" i="12"/>
  <c r="C24" i="12"/>
  <c r="C20" i="12"/>
  <c r="C16" i="12"/>
  <c r="C13" i="12"/>
  <c r="C9" i="12"/>
  <c r="C5" i="12"/>
  <c r="C2" i="12"/>
  <c r="C32" i="11"/>
  <c r="C29" i="11"/>
  <c r="C26" i="11"/>
  <c r="C24" i="11"/>
  <c r="C21" i="11"/>
  <c r="C20" i="11"/>
  <c r="C16" i="11"/>
  <c r="C14" i="11"/>
  <c r="C12" i="11"/>
  <c r="C10" i="11"/>
  <c r="C6" i="11"/>
  <c r="C2" i="11"/>
  <c r="C39" i="10"/>
  <c r="C36" i="10"/>
  <c r="C32" i="10"/>
  <c r="C29" i="10"/>
  <c r="C26" i="10"/>
  <c r="C22" i="10"/>
  <c r="C19" i="10"/>
  <c r="C15" i="10"/>
  <c r="C11" i="10"/>
  <c r="C8" i="10"/>
  <c r="C5" i="10"/>
  <c r="C2" i="10"/>
  <c r="C35" i="9"/>
  <c r="C32" i="9"/>
  <c r="C28" i="9"/>
  <c r="C25" i="9"/>
  <c r="C22" i="9"/>
  <c r="C18" i="9"/>
  <c r="C15" i="9"/>
  <c r="C12" i="9"/>
  <c r="C10" i="9"/>
  <c r="C7" i="9"/>
  <c r="C5" i="9"/>
  <c r="C2" i="9"/>
  <c r="C40" i="8"/>
  <c r="C36" i="8"/>
  <c r="C32" i="8"/>
  <c r="C28" i="8"/>
  <c r="C25" i="8"/>
  <c r="C21" i="8"/>
  <c r="C18" i="8"/>
  <c r="C14" i="8"/>
  <c r="C11" i="8"/>
  <c r="C9" i="8"/>
  <c r="C6" i="8"/>
  <c r="C2" i="8"/>
  <c r="C33" i="7"/>
  <c r="C30" i="7"/>
  <c r="C27" i="7"/>
  <c r="C24" i="7"/>
  <c r="C21" i="7"/>
  <c r="C19" i="7"/>
  <c r="C17" i="7"/>
  <c r="C14" i="7"/>
  <c r="C11" i="7"/>
  <c r="C8" i="7"/>
  <c r="C4" i="7"/>
  <c r="C2" i="7"/>
  <c r="C37" i="6"/>
  <c r="C34" i="6"/>
  <c r="C30" i="6"/>
  <c r="C26" i="6"/>
  <c r="C24" i="6"/>
  <c r="C20" i="6"/>
  <c r="C16" i="6"/>
  <c r="C14" i="6"/>
  <c r="C12" i="6"/>
  <c r="C9" i="6"/>
  <c r="C6" i="6"/>
  <c r="C2" i="6"/>
  <c r="C32" i="5"/>
  <c r="C31" i="5"/>
  <c r="C28" i="5"/>
  <c r="C24" i="5"/>
  <c r="C21" i="5"/>
  <c r="C18" i="5"/>
  <c r="C15" i="5"/>
  <c r="C12" i="5"/>
  <c r="C10" i="5"/>
  <c r="C7" i="5"/>
  <c r="C4" i="5"/>
  <c r="C2" i="5"/>
  <c r="C39" i="4"/>
  <c r="C36" i="4"/>
  <c r="C32" i="4"/>
  <c r="C28" i="4"/>
  <c r="C25" i="4"/>
  <c r="C22" i="4"/>
  <c r="C18" i="4"/>
  <c r="C14" i="4"/>
  <c r="C11" i="4"/>
  <c r="C7" i="4"/>
  <c r="C5" i="4"/>
  <c r="C2" i="4"/>
  <c r="C39" i="3"/>
  <c r="C35" i="3"/>
  <c r="C32" i="3"/>
  <c r="C28" i="3"/>
  <c r="C24" i="3"/>
  <c r="C21" i="3"/>
  <c r="C18" i="3"/>
  <c r="C14" i="3"/>
  <c r="C11" i="3"/>
  <c r="C7" i="3"/>
  <c r="C6" i="3"/>
  <c r="C3" i="3"/>
  <c r="D39" i="2"/>
  <c r="D36" i="2"/>
  <c r="D33" i="2"/>
  <c r="D30" i="2"/>
  <c r="D28" i="2"/>
  <c r="D23" i="2"/>
  <c r="D20" i="2"/>
  <c r="D12" i="2"/>
  <c r="D16" i="2"/>
  <c r="D8" i="2"/>
  <c r="D4" i="2"/>
  <c r="M13" i="1"/>
  <c r="J13" i="1"/>
  <c r="I13" i="1"/>
  <c r="H13" i="1"/>
  <c r="J3" i="1"/>
  <c r="J4" i="1"/>
  <c r="J5" i="1"/>
  <c r="J6" i="1"/>
  <c r="J7" i="1"/>
  <c r="J8" i="1"/>
  <c r="J9" i="1"/>
  <c r="J10" i="1"/>
  <c r="J11" i="1"/>
  <c r="J12" i="1"/>
  <c r="J2" i="1"/>
  <c r="I3" i="1"/>
  <c r="I4" i="1"/>
  <c r="I5" i="1"/>
  <c r="I6" i="1"/>
  <c r="I7" i="1"/>
  <c r="I8" i="1"/>
  <c r="I9" i="1"/>
  <c r="I10" i="1"/>
  <c r="I11" i="1"/>
  <c r="I12" i="1"/>
  <c r="I2" i="1"/>
  <c r="G13" i="1"/>
  <c r="F3" i="1"/>
  <c r="F4" i="1"/>
  <c r="F5" i="1"/>
  <c r="F6" i="1"/>
  <c r="F7" i="1"/>
  <c r="F8" i="1"/>
  <c r="F9" i="1"/>
  <c r="F10" i="1"/>
  <c r="F11" i="1"/>
  <c r="F12" i="1"/>
  <c r="F2" i="1"/>
  <c r="C13" i="1"/>
  <c r="L13" i="1"/>
  <c r="B13" i="1"/>
  <c r="F13" i="1" s="1"/>
</calcChain>
</file>

<file path=xl/sharedStrings.xml><?xml version="1.0" encoding="utf-8"?>
<sst xmlns="http://schemas.openxmlformats.org/spreadsheetml/2006/main" count="491" uniqueCount="40">
  <si>
    <t>Arrhy</t>
  </si>
  <si>
    <t>Parkinson</t>
  </si>
  <si>
    <t>Shuttle</t>
  </si>
  <si>
    <t>WBC</t>
  </si>
  <si>
    <t>SpamBase</t>
  </si>
  <si>
    <t>WPBC</t>
  </si>
  <si>
    <t>HeartDisease</t>
  </si>
  <si>
    <t>Glass</t>
  </si>
  <si>
    <t>Hep</t>
  </si>
  <si>
    <t>Pima</t>
  </si>
  <si>
    <t>PenDigits</t>
  </si>
  <si>
    <t>Dataset</t>
  </si>
  <si>
    <t>Skewed Normal</t>
  </si>
  <si>
    <t>Gamma</t>
  </si>
  <si>
    <t>KNN</t>
  </si>
  <si>
    <t>FastABOD</t>
  </si>
  <si>
    <t>LDOF</t>
  </si>
  <si>
    <t>LDF</t>
  </si>
  <si>
    <t>SN R^2 Q-Q</t>
  </si>
  <si>
    <t>Gamma R^2 Q-Q</t>
  </si>
  <si>
    <t>Paper Best</t>
  </si>
  <si>
    <t>Best-Algo</t>
  </si>
  <si>
    <t>Difference Skewed Normal</t>
  </si>
  <si>
    <t>Gamma uses manhattan distance</t>
  </si>
  <si>
    <t>Difference Best Algo</t>
  </si>
  <si>
    <t>Difference KNN</t>
  </si>
  <si>
    <r>
      <t>Gamma R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Q-Q</t>
    </r>
  </si>
  <si>
    <t>Paper-KNN</t>
  </si>
  <si>
    <t>Gamma AUC</t>
  </si>
  <si>
    <t>Algorithm</t>
  </si>
  <si>
    <t>ROC AUC</t>
  </si>
  <si>
    <t>KNNW</t>
  </si>
  <si>
    <t>LOF</t>
  </si>
  <si>
    <t>SimplifiedLOF</t>
  </si>
  <si>
    <t>LoOP</t>
  </si>
  <si>
    <t>ODIN</t>
  </si>
  <si>
    <t>KDEOS</t>
  </si>
  <si>
    <t>INFLO</t>
  </si>
  <si>
    <t>COF</t>
  </si>
  <si>
    <t>Average/Count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</si>
</sst>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-* #,##0.0_-;\-* #,##0.0_-;_-* &quot;-&quot;??_-;_-@_-"/>
    <numFmt numFmtId="165" formatCode="_-* #,##0.0000_-;\-* #,##0.0000_-;_-* &quot;-&quot;??_-;_-@_-"/>
    <numFmt numFmtId="166" formatCode="_-* #,##0.000000_-;\-* #,##0.000000_-;_-* &quot;-&quot;??_-;_-@_-"/>
    <numFmt numFmtId="167" formatCode="0.000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">
    <xf numFmtId="0" fontId="0" fillId="0" borderId="0" xfId="0"/>
    <xf numFmtId="165" fontId="0" fillId="0" borderId="0" xfId="1" applyNumberFormat="1" applyFon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164" fontId="0" fillId="0" borderId="0" xfId="0" applyNumberForma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7"/>
  <sheetViews>
    <sheetView tabSelected="1" workbookViewId="0">
      <selection activeCell="S15" sqref="S15"/>
    </sheetView>
  </sheetViews>
  <sheetFormatPr defaultRowHeight="15" x14ac:dyDescent="0.25"/>
  <cols>
    <col min="1" max="1" width="16.140625" customWidth="1"/>
    <col min="2" max="3" width="15.140625" hidden="1" customWidth="1"/>
    <col min="4" max="4" width="13.85546875" hidden="1" customWidth="1"/>
    <col min="5" max="5" width="15.5703125" hidden="1" customWidth="1"/>
    <col min="6" max="6" width="25.85546875" hidden="1" customWidth="1"/>
    <col min="7" max="7" width="25.85546875" customWidth="1"/>
    <col min="8" max="8" width="25" customWidth="1"/>
    <col min="9" max="10" width="25.85546875" customWidth="1"/>
    <col min="11" max="11" width="10.85546875" customWidth="1"/>
    <col min="12" max="12" width="13.42578125" customWidth="1"/>
    <col min="13" max="13" width="10.5703125" customWidth="1"/>
    <col min="14" max="14" width="14.5703125" customWidth="1"/>
    <col min="16" max="16" width="13.140625" customWidth="1"/>
    <col min="20" max="20" width="10.85546875" customWidth="1"/>
  </cols>
  <sheetData>
    <row r="1" spans="1:24" ht="17.25" x14ac:dyDescent="0.25">
      <c r="A1" t="s">
        <v>11</v>
      </c>
      <c r="B1" t="s">
        <v>12</v>
      </c>
      <c r="C1" t="s">
        <v>18</v>
      </c>
      <c r="D1" t="s">
        <v>13</v>
      </c>
      <c r="E1" t="s">
        <v>19</v>
      </c>
      <c r="F1" t="s">
        <v>22</v>
      </c>
      <c r="G1" t="s">
        <v>28</v>
      </c>
      <c r="H1" t="s">
        <v>26</v>
      </c>
      <c r="I1" t="s">
        <v>24</v>
      </c>
      <c r="J1" t="s">
        <v>25</v>
      </c>
      <c r="K1" t="s">
        <v>21</v>
      </c>
      <c r="L1" t="s">
        <v>20</v>
      </c>
      <c r="M1" t="s">
        <v>27</v>
      </c>
      <c r="N1" t="s">
        <v>31</v>
      </c>
      <c r="O1" t="s">
        <v>32</v>
      </c>
      <c r="P1" t="s">
        <v>33</v>
      </c>
      <c r="Q1" t="s">
        <v>34</v>
      </c>
      <c r="R1" t="s">
        <v>16</v>
      </c>
      <c r="S1" t="s">
        <v>35</v>
      </c>
      <c r="T1" t="s">
        <v>15</v>
      </c>
      <c r="U1" t="s">
        <v>36</v>
      </c>
      <c r="V1" t="s">
        <v>17</v>
      </c>
      <c r="W1" t="s">
        <v>37</v>
      </c>
      <c r="X1" t="s">
        <v>38</v>
      </c>
    </row>
    <row r="2" spans="1:24" x14ac:dyDescent="0.25">
      <c r="A2" t="s">
        <v>0</v>
      </c>
      <c r="B2">
        <v>0.76202650007957895</v>
      </c>
      <c r="C2">
        <v>0.93830000000000002</v>
      </c>
      <c r="D2">
        <v>0.76108148973420298</v>
      </c>
      <c r="E2">
        <v>0.98860000000000003</v>
      </c>
      <c r="F2" s="2">
        <f>B2-L2</f>
        <v>1.0026500079578948E-2</v>
      </c>
      <c r="G2" s="3">
        <v>0.76108148973420298</v>
      </c>
      <c r="H2" s="2">
        <v>0.97450000000000003</v>
      </c>
      <c r="I2" s="3">
        <f>G2-L2</f>
        <v>9.0814897342029743E-3</v>
      </c>
      <c r="J2" s="3">
        <f t="shared" ref="J2:J12" si="0">G2-M2</f>
        <v>9.0814897342029743E-3</v>
      </c>
      <c r="K2" t="s">
        <v>14</v>
      </c>
      <c r="L2" s="1">
        <v>0.752</v>
      </c>
      <c r="M2" s="1">
        <v>0.752</v>
      </c>
    </row>
    <row r="3" spans="1:24" x14ac:dyDescent="0.25">
      <c r="A3" t="s">
        <v>1</v>
      </c>
      <c r="B3">
        <v>0.739654195011337</v>
      </c>
      <c r="C3">
        <v>0.81930000000000003</v>
      </c>
      <c r="D3">
        <v>0.73816609977324199</v>
      </c>
      <c r="E3">
        <v>0.88660000000000005</v>
      </c>
      <c r="F3" s="2">
        <f t="shared" ref="F3:F12" si="1">B3-L3</f>
        <v>6.9654195011336961E-2</v>
      </c>
      <c r="G3" s="3">
        <v>0.73816609977324199</v>
      </c>
      <c r="H3" s="2">
        <v>0.85409999999999997</v>
      </c>
      <c r="I3" s="3">
        <f t="shared" ref="I3:I12" si="2">G3-L3</f>
        <v>6.816609977324195E-2</v>
      </c>
      <c r="J3" s="3">
        <f t="shared" si="0"/>
        <v>8.5816099773242005E-2</v>
      </c>
      <c r="K3" t="s">
        <v>15</v>
      </c>
      <c r="L3" s="1">
        <v>0.67</v>
      </c>
      <c r="M3">
        <v>0.65234999999999999</v>
      </c>
    </row>
    <row r="4" spans="1:24" x14ac:dyDescent="0.25">
      <c r="A4" t="s">
        <v>2</v>
      </c>
      <c r="B4">
        <v>0.84561538461538399</v>
      </c>
      <c r="C4">
        <v>0.65539999999999998</v>
      </c>
      <c r="D4">
        <v>0.82015384615384601</v>
      </c>
      <c r="F4" s="2">
        <f t="shared" si="1"/>
        <v>-1.9246153846159686E-3</v>
      </c>
      <c r="G4" s="3">
        <v>0.82015384615384601</v>
      </c>
      <c r="H4" s="2">
        <v>0.72499999999999998</v>
      </c>
      <c r="I4" s="3">
        <f t="shared" si="2"/>
        <v>-2.7386153846153949E-2</v>
      </c>
      <c r="J4" s="3">
        <f t="shared" si="0"/>
        <v>2.5338461538459978E-3</v>
      </c>
      <c r="K4" t="s">
        <v>16</v>
      </c>
      <c r="L4" s="1">
        <v>0.84753999999999996</v>
      </c>
      <c r="M4">
        <v>0.81762000000000001</v>
      </c>
    </row>
    <row r="5" spans="1:24" x14ac:dyDescent="0.25">
      <c r="A5" t="s">
        <v>3</v>
      </c>
      <c r="B5">
        <v>0.99248826291079795</v>
      </c>
      <c r="C5">
        <v>0.72529999999999994</v>
      </c>
      <c r="D5">
        <v>0.99859154929577398</v>
      </c>
      <c r="F5" s="2">
        <f t="shared" si="1"/>
        <v>-4.6917370892020083E-3</v>
      </c>
      <c r="G5" s="3">
        <v>0.99859154929577398</v>
      </c>
      <c r="H5" s="2">
        <v>0.98670000000000002</v>
      </c>
      <c r="I5" s="3">
        <f t="shared" si="2"/>
        <v>1.4115492957740283E-3</v>
      </c>
      <c r="J5" s="3">
        <f t="shared" si="0"/>
        <v>1.4115492957740283E-3</v>
      </c>
      <c r="K5" t="s">
        <v>17</v>
      </c>
      <c r="L5" s="1">
        <v>0.99717999999999996</v>
      </c>
      <c r="M5">
        <v>0.99717999999999996</v>
      </c>
    </row>
    <row r="6" spans="1:24" x14ac:dyDescent="0.25">
      <c r="A6" t="s">
        <v>4</v>
      </c>
      <c r="B6">
        <v>0.65074936765404301</v>
      </c>
      <c r="C6">
        <v>0.88929999999999998</v>
      </c>
      <c r="F6" s="2">
        <f t="shared" si="1"/>
        <v>7.7279367654042974E-2</v>
      </c>
      <c r="G6" s="3">
        <v>0.65000947105344398</v>
      </c>
      <c r="H6" s="2">
        <v>0.92220000000000002</v>
      </c>
      <c r="I6" s="3">
        <f t="shared" si="2"/>
        <v>7.6539471053443942E-2</v>
      </c>
      <c r="J6" s="3">
        <f t="shared" si="0"/>
        <v>7.6539471053443942E-2</v>
      </c>
      <c r="K6" t="s">
        <v>14</v>
      </c>
      <c r="L6" s="1">
        <v>0.57347000000000004</v>
      </c>
      <c r="M6">
        <v>0.57347000000000004</v>
      </c>
    </row>
    <row r="7" spans="1:24" x14ac:dyDescent="0.25">
      <c r="A7" t="s">
        <v>5</v>
      </c>
      <c r="B7">
        <v>0.52937861068056902</v>
      </c>
      <c r="C7">
        <v>0.95530000000000004</v>
      </c>
      <c r="F7" s="2">
        <f t="shared" si="1"/>
        <v>-5.3541389319430976E-2</v>
      </c>
      <c r="G7" s="3">
        <v>0.53156263209806898</v>
      </c>
      <c r="H7" s="2">
        <v>0.98599999999999999</v>
      </c>
      <c r="I7" s="3">
        <f t="shared" si="2"/>
        <v>-5.1357367901931017E-2</v>
      </c>
      <c r="J7" s="3">
        <f t="shared" si="0"/>
        <v>-9.3373679019310707E-3</v>
      </c>
      <c r="K7" t="s">
        <v>17</v>
      </c>
      <c r="L7" s="1">
        <v>0.58291999999999999</v>
      </c>
      <c r="M7" s="4">
        <v>0.54090000000000005</v>
      </c>
    </row>
    <row r="8" spans="1:24" x14ac:dyDescent="0.25">
      <c r="A8" t="s">
        <v>6</v>
      </c>
      <c r="B8">
        <v>0.698888888888889</v>
      </c>
      <c r="C8">
        <v>0.99519999999999997</v>
      </c>
      <c r="F8" s="2">
        <f t="shared" si="1"/>
        <v>-5.6781111111110949E-2</v>
      </c>
      <c r="G8" s="3">
        <v>0.70016666666666605</v>
      </c>
      <c r="H8" s="2">
        <v>0.99390000000000001</v>
      </c>
      <c r="I8" s="3">
        <f t="shared" si="2"/>
        <v>-5.5503333333333904E-2</v>
      </c>
      <c r="J8" s="3">
        <f t="shared" si="0"/>
        <v>1.6336666666666E-2</v>
      </c>
      <c r="K8" t="s">
        <v>15</v>
      </c>
      <c r="L8" s="1">
        <v>0.75566999999999995</v>
      </c>
      <c r="M8">
        <v>0.68383000000000005</v>
      </c>
    </row>
    <row r="9" spans="1:24" x14ac:dyDescent="0.25">
      <c r="A9" t="s">
        <v>7</v>
      </c>
      <c r="B9">
        <v>0.87723577235772299</v>
      </c>
      <c r="C9">
        <v>0.8196</v>
      </c>
      <c r="F9" s="2">
        <f t="shared" si="1"/>
        <v>-2.6284227642277003E-2</v>
      </c>
      <c r="G9" s="3">
        <v>0.88048780487804801</v>
      </c>
      <c r="H9" s="2">
        <v>0.93869999999999998</v>
      </c>
      <c r="I9" s="3">
        <f t="shared" si="2"/>
        <v>-2.3032195121951982E-2</v>
      </c>
      <c r="J9" s="3">
        <f t="shared" si="0"/>
        <v>5.6878048780479862E-3</v>
      </c>
      <c r="K9" t="s">
        <v>17</v>
      </c>
      <c r="L9" s="1">
        <v>0.90351999999999999</v>
      </c>
      <c r="M9">
        <v>0.87480000000000002</v>
      </c>
    </row>
    <row r="10" spans="1:24" x14ac:dyDescent="0.25">
      <c r="A10" t="s">
        <v>8</v>
      </c>
      <c r="B10">
        <v>0.785304247990815</v>
      </c>
      <c r="C10">
        <v>0.96850000000000003</v>
      </c>
      <c r="F10" s="2">
        <f t="shared" si="1"/>
        <v>-4.3625752009184948E-2</v>
      </c>
      <c r="G10" s="3">
        <v>0.78473019517795595</v>
      </c>
      <c r="H10" s="2">
        <v>0.93610000000000004</v>
      </c>
      <c r="I10" s="3">
        <f t="shared" si="2"/>
        <v>-4.4199804822043998E-2</v>
      </c>
      <c r="J10" s="3">
        <f t="shared" si="0"/>
        <v>-1.149804822044076E-3</v>
      </c>
      <c r="K10" t="s">
        <v>17</v>
      </c>
      <c r="L10" s="1">
        <v>0.82892999999999994</v>
      </c>
      <c r="M10">
        <v>0.78588000000000002</v>
      </c>
    </row>
    <row r="11" spans="1:24" x14ac:dyDescent="0.25">
      <c r="A11" t="s">
        <v>9</v>
      </c>
      <c r="B11">
        <v>0.73526865671641695</v>
      </c>
      <c r="C11">
        <v>0.99199999999999999</v>
      </c>
      <c r="F11" s="2">
        <f t="shared" si="1"/>
        <v>-2.554134328358304E-2</v>
      </c>
      <c r="G11" s="3">
        <v>0.73591417910447698</v>
      </c>
      <c r="H11" s="2">
        <v>0.997</v>
      </c>
      <c r="I11" s="3">
        <f t="shared" si="2"/>
        <v>-2.4895820895523002E-2</v>
      </c>
      <c r="J11" s="3">
        <f t="shared" si="0"/>
        <v>3.6741791044769823E-3</v>
      </c>
      <c r="K11" t="s">
        <v>15</v>
      </c>
      <c r="L11" s="1">
        <v>0.76080999999999999</v>
      </c>
      <c r="M11">
        <v>0.73224</v>
      </c>
    </row>
    <row r="12" spans="1:24" x14ac:dyDescent="0.25">
      <c r="A12" t="s">
        <v>10</v>
      </c>
      <c r="B12">
        <v>0.98239490251827699</v>
      </c>
      <c r="C12">
        <v>0.97070000000000001</v>
      </c>
      <c r="F12" s="2">
        <f t="shared" si="1"/>
        <v>-9.7250974817230107E-3</v>
      </c>
      <c r="G12" s="3">
        <v>0.98260560519902496</v>
      </c>
      <c r="H12" s="2">
        <v>0.97860000000000003</v>
      </c>
      <c r="I12" s="3">
        <f t="shared" si="2"/>
        <v>-9.5143948009750456E-3</v>
      </c>
      <c r="J12" s="3">
        <f t="shared" si="0"/>
        <v>-9.5143948009750456E-3</v>
      </c>
      <c r="K12" t="s">
        <v>14</v>
      </c>
      <c r="L12" s="1">
        <v>0.99212</v>
      </c>
      <c r="M12" s="1">
        <v>0.99212</v>
      </c>
    </row>
    <row r="13" spans="1:24" x14ac:dyDescent="0.25">
      <c r="A13" t="s">
        <v>39</v>
      </c>
      <c r="B13">
        <f>AVERAGE(B2:B12)</f>
        <v>0.78172770812943915</v>
      </c>
      <c r="C13">
        <f>AVERAGE(C2:C12)</f>
        <v>0.88444545454545453</v>
      </c>
      <c r="F13" s="2">
        <f>B13-L13</f>
        <v>-5.9232009614700321E-3</v>
      </c>
      <c r="G13" s="3">
        <f>AVERAGE(G2:G12)</f>
        <v>0.7803154126486137</v>
      </c>
      <c r="H13" s="2">
        <f>AVERAGE(H2:H12)</f>
        <v>0.93570909090909093</v>
      </c>
      <c r="I13" s="5">
        <f>COUNTIF(I2:I12,"&gt;0")</f>
        <v>4</v>
      </c>
      <c r="J13" s="5">
        <f>COUNTIF(J2:J12,"&gt;0")</f>
        <v>8</v>
      </c>
      <c r="L13" s="1">
        <f>AVERAGE(L2:L12)</f>
        <v>0.78765090909090918</v>
      </c>
      <c r="M13" s="2">
        <f>AVERAGE(M2:M12)</f>
        <v>0.76385363636363646</v>
      </c>
      <c r="N13">
        <f>AVERAGE(Arrhythmia!D8,Parkinson!C6,Shuttle!C5,WBC!C4,SpamBase!C6,WPBC!C4,HeartDisease!C6,Glass!C5,Hep!C5,Pima!C6,PenDigits!C5)</f>
        <v>0.74898363636363641</v>
      </c>
      <c r="O13">
        <f>AVERAGE(Arrhythmia!D12,Parkinson!C7,Shuttle!C7,WBC!C7,SpamBase!C9,WPBC!C8,HeartDisease!C9,Glass!C7,Hep!C8,Pima!C10,PenDigits!C9)</f>
        <v>0.73779636363636358</v>
      </c>
      <c r="P13">
        <f>AVERAGE(Arrhythmia!D16,Parkinson!C11,Shuttle!C11,WBC!C10,SpamBase!C12,WPBC!C11,HeartDisease!C11,Glass!C10,Hep!C11,Pima!C12,PenDigits!C13)</f>
        <v>0.71585272727272731</v>
      </c>
      <c r="Q13">
        <f>AVERAGE(Arrhythmia!D20,Parkinson!C14,Shuttle!C14,WBC!C12,SpamBase!C14,WPBC!C14,HeartDisease!C14,Glass!C12,Hep!C15,Pima!C14,PenDigits!C16)</f>
        <v>0.7080581818181817</v>
      </c>
      <c r="R13">
        <f>AVERAGE(Arrhythmia!D23,Parkinson!C18,Shuttle!C18,WBC!C15,SpamBase!C16,WPBC!C17,HeartDisease!C18,Glass!C15,Hep!C19,Pima!C16,PenDigits!C20)</f>
        <v>0.68091363636363633</v>
      </c>
      <c r="S13">
        <f>AVERAGE(Arrhythmia!D25,Parkinson!C21,Shuttle!C22,WBC!C18,SpamBase!C20,WPBC!C19,HeartDisease!C21,Glass!C18,Hep!C22,Pima!C20,PenDigits!C24)</f>
        <v>0.70191727272727278</v>
      </c>
      <c r="T13">
        <f>AVERAGE(Arrhythmia!D28,Parkinson!C24,Shuttle!C25,WBC!C21,SpamBase!C24,WPBC!C21,HeartDisease!C25,Glass!C22,Hep!C26,Pima!C21,PenDigits!C27)</f>
        <v>0.70524545454545462</v>
      </c>
      <c r="U13">
        <f>AVERAGE(Arrhythmia!D30,Parkinson!C28,Shuttle!C28,WBC!C24,SpamBase!C26,WPBC!C24,HeartDisease!C28,Glass!C25,Hep!C29,Pima!C24,PenDigits!C30)</f>
        <v>0.63380727272727266</v>
      </c>
      <c r="V13">
        <f>AVERAGE(Arrhythmia!D33,Parkinson!C32,Shuttle!C32,WBC!C28,SpamBase!C30,WPBC!C27,HeartDisease!C32,Glass!C28,Hep!C32,Pima!C26,PenDigits!C34)</f>
        <v>0.75610909090909084</v>
      </c>
      <c r="W13">
        <f>AVERAGE(Arrhythmia!D36,Parkinson!C35,Shuttle!C36,WBC!C31,SpamBase!C34,WPBC!C30,HeartDisease!C36,Glass!C32,Hep!C36,Pima!C29,PenDigits!C37)</f>
        <v>0.69330909090909087</v>
      </c>
      <c r="X13">
        <f>AVERAGE(Arrhythmia!D39,Parkinson!C39,Shuttle!C39,WBC!C32,SpamBase!C37,WPBC!C33,HeartDisease!C40,Glass!C35,Hep!C39,Pima!C32,PenDigits!C41)</f>
        <v>0.74376999999999993</v>
      </c>
    </row>
    <row r="17" spans="1:1" x14ac:dyDescent="0.25">
      <c r="A17" t="s">
        <v>23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B012A-D937-47C4-8AC9-6A6E5FDF72BE}">
  <dimension ref="A1:D42"/>
  <sheetViews>
    <sheetView topLeftCell="A10" workbookViewId="0">
      <selection activeCell="D25" sqref="D25"/>
    </sheetView>
  </sheetViews>
  <sheetFormatPr defaultRowHeight="15" x14ac:dyDescent="0.25"/>
  <sheetData>
    <row r="1" spans="1:4" x14ac:dyDescent="0.25">
      <c r="A1" t="s">
        <v>29</v>
      </c>
      <c r="B1" t="s">
        <v>30</v>
      </c>
    </row>
    <row r="2" spans="1:4" x14ac:dyDescent="0.25">
      <c r="A2" t="s">
        <v>14</v>
      </c>
      <c r="B2">
        <v>0.74761</v>
      </c>
    </row>
    <row r="3" spans="1:4" x14ac:dyDescent="0.25">
      <c r="A3" t="s">
        <v>14</v>
      </c>
      <c r="B3">
        <v>0.75158000000000003</v>
      </c>
    </row>
    <row r="4" spans="1:4" x14ac:dyDescent="0.25">
      <c r="A4" t="s">
        <v>14</v>
      </c>
      <c r="B4">
        <v>0.75205</v>
      </c>
      <c r="D4">
        <f>MAX(B2:B5)</f>
        <v>0.75205</v>
      </c>
    </row>
    <row r="5" spans="1:4" x14ac:dyDescent="0.25">
      <c r="A5" t="s">
        <v>14</v>
      </c>
      <c r="B5">
        <v>0.74997999999999998</v>
      </c>
    </row>
    <row r="6" spans="1:4" x14ac:dyDescent="0.25">
      <c r="A6" t="s">
        <v>31</v>
      </c>
      <c r="B6">
        <v>0.74456999999999995</v>
      </c>
    </row>
    <row r="7" spans="1:4" x14ac:dyDescent="0.25">
      <c r="A7" t="s">
        <v>31</v>
      </c>
      <c r="B7">
        <v>0.74836999999999998</v>
      </c>
    </row>
    <row r="8" spans="1:4" x14ac:dyDescent="0.25">
      <c r="A8" t="s">
        <v>31</v>
      </c>
      <c r="B8">
        <v>0.75007999999999997</v>
      </c>
      <c r="D8">
        <f>MAX(B6:B9)</f>
        <v>0.75007999999999997</v>
      </c>
    </row>
    <row r="9" spans="1:4" x14ac:dyDescent="0.25">
      <c r="A9" t="s">
        <v>31</v>
      </c>
      <c r="B9">
        <v>0.75007999999999997</v>
      </c>
    </row>
    <row r="10" spans="1:4" x14ac:dyDescent="0.25">
      <c r="A10" t="s">
        <v>32</v>
      </c>
      <c r="B10">
        <v>0.71584000000000003</v>
      </c>
    </row>
    <row r="11" spans="1:4" x14ac:dyDescent="0.25">
      <c r="A11" t="s">
        <v>32</v>
      </c>
      <c r="B11">
        <v>0.72428000000000003</v>
      </c>
    </row>
    <row r="12" spans="1:4" x14ac:dyDescent="0.25">
      <c r="A12" t="s">
        <v>32</v>
      </c>
      <c r="B12">
        <v>0.74421000000000004</v>
      </c>
      <c r="D12">
        <f>MAX(B10:B13)</f>
        <v>0.74421000000000004</v>
      </c>
    </row>
    <row r="13" spans="1:4" x14ac:dyDescent="0.25">
      <c r="A13" t="s">
        <v>32</v>
      </c>
      <c r="B13">
        <v>0.74414999999999998</v>
      </c>
    </row>
    <row r="14" spans="1:4" x14ac:dyDescent="0.25">
      <c r="A14" t="s">
        <v>33</v>
      </c>
      <c r="B14">
        <v>0.71930000000000005</v>
      </c>
    </row>
    <row r="15" spans="1:4" x14ac:dyDescent="0.25">
      <c r="A15" t="s">
        <v>33</v>
      </c>
      <c r="B15">
        <v>0.73812</v>
      </c>
    </row>
    <row r="16" spans="1:4" x14ac:dyDescent="0.25">
      <c r="A16" t="s">
        <v>33</v>
      </c>
      <c r="B16">
        <v>0.74339</v>
      </c>
      <c r="D16">
        <f>MAX(B14:B17)</f>
        <v>0.74339</v>
      </c>
    </row>
    <row r="17" spans="1:4" x14ac:dyDescent="0.25">
      <c r="A17" t="s">
        <v>33</v>
      </c>
      <c r="B17">
        <v>0.74319999999999997</v>
      </c>
    </row>
    <row r="18" spans="1:4" x14ac:dyDescent="0.25">
      <c r="A18" t="s">
        <v>34</v>
      </c>
      <c r="B18">
        <v>0.71847000000000005</v>
      </c>
    </row>
    <row r="19" spans="1:4" x14ac:dyDescent="0.25">
      <c r="A19" t="s">
        <v>34</v>
      </c>
      <c r="B19">
        <v>0.73836000000000002</v>
      </c>
    </row>
    <row r="20" spans="1:4" x14ac:dyDescent="0.25">
      <c r="A20" t="s">
        <v>34</v>
      </c>
      <c r="B20">
        <v>0.74111000000000005</v>
      </c>
      <c r="D20">
        <f>MAX(B18:B21)</f>
        <v>0.74111000000000005</v>
      </c>
    </row>
    <row r="21" spans="1:4" x14ac:dyDescent="0.25">
      <c r="A21" t="s">
        <v>34</v>
      </c>
      <c r="B21">
        <v>0.74097000000000002</v>
      </c>
    </row>
    <row r="22" spans="1:4" x14ac:dyDescent="0.25">
      <c r="A22" t="s">
        <v>16</v>
      </c>
      <c r="B22">
        <v>0.71986000000000006</v>
      </c>
    </row>
    <row r="23" spans="1:4" x14ac:dyDescent="0.25">
      <c r="A23" t="s">
        <v>16</v>
      </c>
      <c r="B23">
        <v>0.71870999999999996</v>
      </c>
      <c r="D23">
        <f>MAX(B22:B24)</f>
        <v>0.73451999999999995</v>
      </c>
    </row>
    <row r="24" spans="1:4" x14ac:dyDescent="0.25">
      <c r="A24" t="s">
        <v>16</v>
      </c>
      <c r="B24">
        <v>0.73451999999999995</v>
      </c>
    </row>
    <row r="25" spans="1:4" x14ac:dyDescent="0.25">
      <c r="A25" t="s">
        <v>35</v>
      </c>
      <c r="B25">
        <v>0.71862999999999999</v>
      </c>
      <c r="D25">
        <f>MAX(B25:B27)</f>
        <v>0.72668999999999995</v>
      </c>
    </row>
    <row r="26" spans="1:4" x14ac:dyDescent="0.25">
      <c r="A26" t="s">
        <v>35</v>
      </c>
      <c r="B26">
        <v>0.72275999999999996</v>
      </c>
    </row>
    <row r="27" spans="1:4" x14ac:dyDescent="0.25">
      <c r="A27" t="s">
        <v>35</v>
      </c>
      <c r="B27">
        <v>0.72668999999999995</v>
      </c>
    </row>
    <row r="28" spans="1:4" x14ac:dyDescent="0.25">
      <c r="A28" t="s">
        <v>15</v>
      </c>
      <c r="B28">
        <v>0.73404000000000003</v>
      </c>
      <c r="D28">
        <f>MAX(B28:B29)</f>
        <v>0.74175999999999997</v>
      </c>
    </row>
    <row r="29" spans="1:4" x14ac:dyDescent="0.25">
      <c r="A29" t="s">
        <v>15</v>
      </c>
      <c r="B29">
        <v>0.74175999999999997</v>
      </c>
    </row>
    <row r="30" spans="1:4" x14ac:dyDescent="0.25">
      <c r="A30" t="s">
        <v>36</v>
      </c>
      <c r="B30">
        <v>0.65053000000000005</v>
      </c>
      <c r="D30">
        <f>MAX(B30:B31)</f>
        <v>0.66100999999999999</v>
      </c>
    </row>
    <row r="31" spans="1:4" x14ac:dyDescent="0.25">
      <c r="A31" t="s">
        <v>36</v>
      </c>
      <c r="B31">
        <v>0.66100999999999999</v>
      </c>
    </row>
    <row r="32" spans="1:4" x14ac:dyDescent="0.25">
      <c r="A32" t="s">
        <v>17</v>
      </c>
      <c r="B32">
        <v>0.71103000000000005</v>
      </c>
    </row>
    <row r="33" spans="1:4" x14ac:dyDescent="0.25">
      <c r="A33" t="s">
        <v>17</v>
      </c>
      <c r="B33">
        <v>0.70535999999999999</v>
      </c>
      <c r="D33">
        <f>MAX(B32:B35)</f>
        <v>0.72285999999999995</v>
      </c>
    </row>
    <row r="34" spans="1:4" x14ac:dyDescent="0.25">
      <c r="A34" t="s">
        <v>17</v>
      </c>
      <c r="B34">
        <v>0.72285999999999995</v>
      </c>
    </row>
    <row r="35" spans="1:4" x14ac:dyDescent="0.25">
      <c r="A35" t="s">
        <v>17</v>
      </c>
      <c r="B35">
        <v>0.70821999999999996</v>
      </c>
    </row>
    <row r="36" spans="1:4" x14ac:dyDescent="0.25">
      <c r="A36" t="s">
        <v>37</v>
      </c>
      <c r="B36">
        <v>0.73038000000000003</v>
      </c>
      <c r="D36">
        <f>MAX(B36:B38)</f>
        <v>0.73153999999999997</v>
      </c>
    </row>
    <row r="37" spans="1:4" x14ac:dyDescent="0.25">
      <c r="A37" t="s">
        <v>37</v>
      </c>
      <c r="B37">
        <v>0.73038000000000003</v>
      </c>
    </row>
    <row r="38" spans="1:4" x14ac:dyDescent="0.25">
      <c r="A38" t="s">
        <v>37</v>
      </c>
      <c r="B38">
        <v>0.73153999999999997</v>
      </c>
    </row>
    <row r="39" spans="1:4" x14ac:dyDescent="0.25">
      <c r="A39" t="s">
        <v>38</v>
      </c>
      <c r="B39">
        <v>0.71160000000000001</v>
      </c>
      <c r="D39">
        <f>MAX(B39:B42)</f>
        <v>0.73385</v>
      </c>
    </row>
    <row r="40" spans="1:4" x14ac:dyDescent="0.25">
      <c r="A40" t="s">
        <v>38</v>
      </c>
      <c r="B40">
        <v>0.72340000000000004</v>
      </c>
    </row>
    <row r="41" spans="1:4" x14ac:dyDescent="0.25">
      <c r="A41" t="s">
        <v>38</v>
      </c>
      <c r="B41">
        <v>0.73385</v>
      </c>
    </row>
    <row r="42" spans="1:4" x14ac:dyDescent="0.25">
      <c r="A42" t="s">
        <v>38</v>
      </c>
      <c r="B42">
        <v>0.72958999999999996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73FC3-F951-424B-A654-7BA719E64DFA}">
  <dimension ref="A1:C42"/>
  <sheetViews>
    <sheetView topLeftCell="A10" workbookViewId="0">
      <selection activeCell="C40" sqref="C40"/>
    </sheetView>
  </sheetViews>
  <sheetFormatPr defaultRowHeight="15" x14ac:dyDescent="0.25"/>
  <sheetData>
    <row r="1" spans="1:3" x14ac:dyDescent="0.25">
      <c r="A1" t="s">
        <v>29</v>
      </c>
      <c r="B1" t="s">
        <v>30</v>
      </c>
    </row>
    <row r="2" spans="1:3" x14ac:dyDescent="0.25">
      <c r="A2" t="s">
        <v>14</v>
      </c>
      <c r="B2">
        <v>0.64753000000000005</v>
      </c>
    </row>
    <row r="3" spans="1:3" x14ac:dyDescent="0.25">
      <c r="A3" t="s">
        <v>14</v>
      </c>
      <c r="B3">
        <v>0.65234999999999999</v>
      </c>
      <c r="C3">
        <f>MAX(B2:B4)</f>
        <v>0.65234999999999999</v>
      </c>
    </row>
    <row r="4" spans="1:3" x14ac:dyDescent="0.25">
      <c r="A4" t="s">
        <v>14</v>
      </c>
      <c r="B4">
        <v>0.63349999999999995</v>
      </c>
    </row>
    <row r="5" spans="1:3" x14ac:dyDescent="0.25">
      <c r="A5" t="s">
        <v>31</v>
      </c>
      <c r="B5">
        <v>0.64115999999999995</v>
      </c>
    </row>
    <row r="6" spans="1:3" x14ac:dyDescent="0.25">
      <c r="A6" t="s">
        <v>31</v>
      </c>
      <c r="B6">
        <v>0.64398999999999995</v>
      </c>
      <c r="C6">
        <f>MAX(B5:B6)</f>
        <v>0.64398999999999995</v>
      </c>
    </row>
    <row r="7" spans="1:3" x14ac:dyDescent="0.25">
      <c r="A7" t="s">
        <v>32</v>
      </c>
      <c r="B7">
        <v>0.59609000000000001</v>
      </c>
      <c r="C7">
        <f>MAX(B7:B10)</f>
        <v>0.61195999999999995</v>
      </c>
    </row>
    <row r="8" spans="1:3" x14ac:dyDescent="0.25">
      <c r="A8" t="s">
        <v>32</v>
      </c>
      <c r="B8">
        <v>0.61195999999999995</v>
      </c>
    </row>
    <row r="9" spans="1:3" x14ac:dyDescent="0.25">
      <c r="A9" t="s">
        <v>32</v>
      </c>
      <c r="B9">
        <v>0.60189999999999999</v>
      </c>
    </row>
    <row r="10" spans="1:3" x14ac:dyDescent="0.25">
      <c r="A10" t="s">
        <v>32</v>
      </c>
      <c r="B10">
        <v>0.46357999999999999</v>
      </c>
    </row>
    <row r="11" spans="1:3" x14ac:dyDescent="0.25">
      <c r="A11" t="s">
        <v>33</v>
      </c>
      <c r="B11">
        <v>0.60346</v>
      </c>
      <c r="C11">
        <f>MAX(B11:B13)</f>
        <v>0.60728000000000004</v>
      </c>
    </row>
    <row r="12" spans="1:3" x14ac:dyDescent="0.25">
      <c r="A12" t="s">
        <v>33</v>
      </c>
      <c r="B12">
        <v>0.60643000000000002</v>
      </c>
    </row>
    <row r="13" spans="1:3" x14ac:dyDescent="0.25">
      <c r="A13" t="s">
        <v>33</v>
      </c>
      <c r="B13">
        <v>0.60728000000000004</v>
      </c>
    </row>
    <row r="14" spans="1:3" x14ac:dyDescent="0.25">
      <c r="A14" t="s">
        <v>34</v>
      </c>
      <c r="B14">
        <v>0.46994999999999998</v>
      </c>
      <c r="C14">
        <f>MAX(B14:B17)</f>
        <v>0.58311999999999997</v>
      </c>
    </row>
    <row r="15" spans="1:3" x14ac:dyDescent="0.25">
      <c r="A15" t="s">
        <v>34</v>
      </c>
      <c r="B15">
        <v>0.56738999999999995</v>
      </c>
    </row>
    <row r="16" spans="1:3" x14ac:dyDescent="0.25">
      <c r="A16" t="s">
        <v>34</v>
      </c>
      <c r="B16">
        <v>0.58311999999999997</v>
      </c>
    </row>
    <row r="17" spans="1:3" x14ac:dyDescent="0.25">
      <c r="A17" t="s">
        <v>34</v>
      </c>
      <c r="B17">
        <v>0.57865999999999995</v>
      </c>
    </row>
    <row r="18" spans="1:3" x14ac:dyDescent="0.25">
      <c r="A18" t="s">
        <v>16</v>
      </c>
      <c r="B18">
        <v>0.51558999999999999</v>
      </c>
      <c r="C18">
        <f>MAX(B18:B20)</f>
        <v>0.55315000000000003</v>
      </c>
    </row>
    <row r="19" spans="1:3" x14ac:dyDescent="0.25">
      <c r="A19" t="s">
        <v>16</v>
      </c>
      <c r="B19">
        <v>0.54052999999999995</v>
      </c>
    </row>
    <row r="20" spans="1:3" x14ac:dyDescent="0.25">
      <c r="A20" t="s">
        <v>16</v>
      </c>
      <c r="B20">
        <v>0.55315000000000003</v>
      </c>
    </row>
    <row r="21" spans="1:3" x14ac:dyDescent="0.25">
      <c r="A21" t="s">
        <v>35</v>
      </c>
      <c r="B21">
        <v>0.52388000000000001</v>
      </c>
      <c r="C21">
        <f>MAX(B21:B23)</f>
        <v>0.52607999999999999</v>
      </c>
    </row>
    <row r="22" spans="1:3" x14ac:dyDescent="0.25">
      <c r="A22" t="s">
        <v>35</v>
      </c>
      <c r="B22">
        <v>0.52607999999999999</v>
      </c>
    </row>
    <row r="23" spans="1:3" x14ac:dyDescent="0.25">
      <c r="A23" t="s">
        <v>35</v>
      </c>
      <c r="B23">
        <v>0.51651000000000002</v>
      </c>
    </row>
    <row r="24" spans="1:3" x14ac:dyDescent="0.25">
      <c r="A24" t="s">
        <v>15</v>
      </c>
      <c r="B24">
        <v>0.65505000000000002</v>
      </c>
      <c r="C24">
        <f>MAX(B24:B27)</f>
        <v>0.66993000000000003</v>
      </c>
    </row>
    <row r="25" spans="1:3" x14ac:dyDescent="0.25">
      <c r="A25" t="s">
        <v>15</v>
      </c>
      <c r="B25">
        <v>0.66908000000000001</v>
      </c>
    </row>
    <row r="26" spans="1:3" x14ac:dyDescent="0.25">
      <c r="A26" t="s">
        <v>15</v>
      </c>
      <c r="B26">
        <v>0.66993000000000003</v>
      </c>
    </row>
    <row r="27" spans="1:3" x14ac:dyDescent="0.25">
      <c r="A27" t="s">
        <v>15</v>
      </c>
      <c r="B27">
        <v>0.64881</v>
      </c>
    </row>
    <row r="28" spans="1:3" x14ac:dyDescent="0.25">
      <c r="A28" t="s">
        <v>36</v>
      </c>
      <c r="B28">
        <v>0.52622000000000002</v>
      </c>
      <c r="C28">
        <f>MAX(B28:B31)</f>
        <v>0.58672999999999997</v>
      </c>
    </row>
    <row r="29" spans="1:3" x14ac:dyDescent="0.25">
      <c r="A29" t="s">
        <v>36</v>
      </c>
      <c r="B29">
        <v>0.57808999999999999</v>
      </c>
    </row>
    <row r="30" spans="1:3" x14ac:dyDescent="0.25">
      <c r="A30" t="s">
        <v>36</v>
      </c>
      <c r="B30">
        <v>0.58672999999999997</v>
      </c>
    </row>
    <row r="31" spans="1:3" x14ac:dyDescent="0.25">
      <c r="A31" t="s">
        <v>36</v>
      </c>
      <c r="B31">
        <v>0.58574000000000004</v>
      </c>
    </row>
    <row r="32" spans="1:3" x14ac:dyDescent="0.25">
      <c r="A32" t="s">
        <v>17</v>
      </c>
      <c r="B32">
        <v>0.60218000000000005</v>
      </c>
      <c r="C32">
        <f>MAX(B32:B34)</f>
        <v>0.60218000000000005</v>
      </c>
    </row>
    <row r="33" spans="1:3" x14ac:dyDescent="0.25">
      <c r="A33" t="s">
        <v>17</v>
      </c>
      <c r="B33">
        <v>0.40178999999999998</v>
      </c>
    </row>
    <row r="34" spans="1:3" x14ac:dyDescent="0.25">
      <c r="A34" t="s">
        <v>17</v>
      </c>
      <c r="B34">
        <v>0.49008000000000002</v>
      </c>
    </row>
    <row r="35" spans="1:3" x14ac:dyDescent="0.25">
      <c r="A35" t="s">
        <v>37</v>
      </c>
      <c r="B35">
        <v>0.56589999999999996</v>
      </c>
      <c r="C35">
        <f>MAX(B35:B38)</f>
        <v>0.59197999999999995</v>
      </c>
    </row>
    <row r="36" spans="1:3" x14ac:dyDescent="0.25">
      <c r="A36" t="s">
        <v>37</v>
      </c>
      <c r="B36">
        <v>0.59197999999999995</v>
      </c>
    </row>
    <row r="37" spans="1:3" x14ac:dyDescent="0.25">
      <c r="A37" t="s">
        <v>37</v>
      </c>
      <c r="B37">
        <v>0.58248</v>
      </c>
    </row>
    <row r="38" spans="1:3" x14ac:dyDescent="0.25">
      <c r="A38" t="s">
        <v>37</v>
      </c>
      <c r="B38">
        <v>0.58389999999999997</v>
      </c>
    </row>
    <row r="39" spans="1:3" x14ac:dyDescent="0.25">
      <c r="A39" t="s">
        <v>38</v>
      </c>
      <c r="B39">
        <v>0.60919999999999996</v>
      </c>
      <c r="C39">
        <f>MAX(B39:B42)</f>
        <v>0.64966000000000002</v>
      </c>
    </row>
    <row r="40" spans="1:3" x14ac:dyDescent="0.25">
      <c r="A40" t="s">
        <v>38</v>
      </c>
      <c r="B40">
        <v>0.58687999999999996</v>
      </c>
    </row>
    <row r="41" spans="1:3" x14ac:dyDescent="0.25">
      <c r="A41" t="s">
        <v>38</v>
      </c>
      <c r="B41">
        <v>0.64966000000000002</v>
      </c>
    </row>
    <row r="42" spans="1:3" x14ac:dyDescent="0.25">
      <c r="A42" t="s">
        <v>38</v>
      </c>
      <c r="B42">
        <v>0.64753000000000005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C0E0F-6E6F-42A6-8CF4-86ECBE8FE863}">
  <dimension ref="A1:C42"/>
  <sheetViews>
    <sheetView topLeftCell="A10" workbookViewId="0">
      <selection activeCell="C40" sqref="C40"/>
    </sheetView>
  </sheetViews>
  <sheetFormatPr defaultRowHeight="15" x14ac:dyDescent="0.25"/>
  <sheetData>
    <row r="1" spans="1:3" x14ac:dyDescent="0.25">
      <c r="A1" t="s">
        <v>29</v>
      </c>
      <c r="B1" t="s">
        <v>30</v>
      </c>
    </row>
    <row r="2" spans="1:3" x14ac:dyDescent="0.25">
      <c r="A2" t="s">
        <v>14</v>
      </c>
      <c r="B2">
        <v>0.44827</v>
      </c>
      <c r="C2">
        <f>MAX(B2:B4)</f>
        <v>0.81762000000000001</v>
      </c>
    </row>
    <row r="3" spans="1:3" x14ac:dyDescent="0.25">
      <c r="A3" t="s">
        <v>14</v>
      </c>
      <c r="B3">
        <v>0.81762000000000001</v>
      </c>
    </row>
    <row r="4" spans="1:3" x14ac:dyDescent="0.25">
      <c r="A4" t="s">
        <v>14</v>
      </c>
      <c r="B4">
        <v>0.63468999999999998</v>
      </c>
    </row>
    <row r="5" spans="1:3" x14ac:dyDescent="0.25">
      <c r="A5" t="s">
        <v>31</v>
      </c>
      <c r="B5">
        <v>0.30153999999999997</v>
      </c>
      <c r="C5">
        <f>MAX(B5:B6)</f>
        <v>0.72785</v>
      </c>
    </row>
    <row r="6" spans="1:3" x14ac:dyDescent="0.25">
      <c r="A6" t="s">
        <v>31</v>
      </c>
      <c r="B6">
        <v>0.72785</v>
      </c>
    </row>
    <row r="7" spans="1:3" x14ac:dyDescent="0.25">
      <c r="A7" t="s">
        <v>32</v>
      </c>
      <c r="B7">
        <v>0.43808000000000002</v>
      </c>
      <c r="C7">
        <f>MAX(B7:B10)</f>
        <v>0.78208</v>
      </c>
    </row>
    <row r="8" spans="1:3" x14ac:dyDescent="0.25">
      <c r="A8" t="s">
        <v>32</v>
      </c>
      <c r="B8">
        <v>0.78208</v>
      </c>
    </row>
    <row r="9" spans="1:3" x14ac:dyDescent="0.25">
      <c r="A9" t="s">
        <v>32</v>
      </c>
      <c r="B9">
        <v>0.72138000000000002</v>
      </c>
    </row>
    <row r="10" spans="1:3" x14ac:dyDescent="0.25">
      <c r="A10" t="s">
        <v>32</v>
      </c>
      <c r="B10">
        <v>0.72423000000000004</v>
      </c>
    </row>
    <row r="11" spans="1:3" x14ac:dyDescent="0.25">
      <c r="A11" t="s">
        <v>33</v>
      </c>
      <c r="B11">
        <v>0.50885000000000002</v>
      </c>
      <c r="C11">
        <f>MAX(B11:B13)</f>
        <v>0.76607999999999998</v>
      </c>
    </row>
    <row r="12" spans="1:3" x14ac:dyDescent="0.25">
      <c r="A12" t="s">
        <v>33</v>
      </c>
      <c r="B12">
        <v>0.76276999999999995</v>
      </c>
    </row>
    <row r="13" spans="1:3" x14ac:dyDescent="0.25">
      <c r="A13" t="s">
        <v>33</v>
      </c>
      <c r="B13">
        <v>0.76607999999999998</v>
      </c>
    </row>
    <row r="14" spans="1:3" x14ac:dyDescent="0.25">
      <c r="A14" t="s">
        <v>34</v>
      </c>
      <c r="B14">
        <v>0.50876999999999994</v>
      </c>
      <c r="C14">
        <f>MAX(B14:B17)</f>
        <v>0.78991999999999996</v>
      </c>
    </row>
    <row r="15" spans="1:3" x14ac:dyDescent="0.25">
      <c r="A15" t="s">
        <v>34</v>
      </c>
      <c r="B15">
        <v>0.78991999999999996</v>
      </c>
    </row>
    <row r="16" spans="1:3" x14ac:dyDescent="0.25">
      <c r="A16" t="s">
        <v>34</v>
      </c>
      <c r="B16">
        <v>0.76131000000000004</v>
      </c>
    </row>
    <row r="17" spans="1:3" x14ac:dyDescent="0.25">
      <c r="A17" t="s">
        <v>34</v>
      </c>
      <c r="B17">
        <v>0.76400000000000001</v>
      </c>
    </row>
    <row r="18" spans="1:3" x14ac:dyDescent="0.25">
      <c r="A18" t="s">
        <v>16</v>
      </c>
      <c r="B18">
        <v>0.50585000000000002</v>
      </c>
      <c r="C18">
        <f>MAX(B18:B21)</f>
        <v>0.84753999999999996</v>
      </c>
    </row>
    <row r="19" spans="1:3" x14ac:dyDescent="0.25">
      <c r="A19" t="s">
        <v>16</v>
      </c>
      <c r="B19">
        <v>0.35654000000000002</v>
      </c>
    </row>
    <row r="20" spans="1:3" x14ac:dyDescent="0.25">
      <c r="A20" t="s">
        <v>16</v>
      </c>
      <c r="B20">
        <v>0.84462000000000004</v>
      </c>
    </row>
    <row r="21" spans="1:3" x14ac:dyDescent="0.25">
      <c r="A21" t="s">
        <v>16</v>
      </c>
      <c r="B21">
        <v>0.84753999999999996</v>
      </c>
    </row>
    <row r="22" spans="1:3" x14ac:dyDescent="0.25">
      <c r="A22" t="s">
        <v>35</v>
      </c>
      <c r="B22">
        <v>0.61223000000000005</v>
      </c>
      <c r="C22">
        <f>MAX(B22:B24)</f>
        <v>0.78900000000000003</v>
      </c>
    </row>
    <row r="23" spans="1:3" x14ac:dyDescent="0.25">
      <c r="A23" t="s">
        <v>35</v>
      </c>
      <c r="B23">
        <v>0.78900000000000003</v>
      </c>
    </row>
    <row r="24" spans="1:3" x14ac:dyDescent="0.25">
      <c r="A24" t="s">
        <v>35</v>
      </c>
      <c r="B24">
        <v>0.77712000000000003</v>
      </c>
    </row>
    <row r="25" spans="1:3" x14ac:dyDescent="0.25">
      <c r="A25" t="s">
        <v>15</v>
      </c>
      <c r="B25">
        <v>0.316</v>
      </c>
      <c r="C25">
        <f>MAX(B25:B27)</f>
        <v>0.316</v>
      </c>
    </row>
    <row r="26" spans="1:3" x14ac:dyDescent="0.25">
      <c r="A26" t="s">
        <v>15</v>
      </c>
      <c r="B26">
        <v>0.27792</v>
      </c>
    </row>
    <row r="27" spans="1:3" x14ac:dyDescent="0.25">
      <c r="A27" t="s">
        <v>15</v>
      </c>
      <c r="B27">
        <v>0.26430999999999999</v>
      </c>
    </row>
    <row r="28" spans="1:3" x14ac:dyDescent="0.25">
      <c r="A28" t="s">
        <v>36</v>
      </c>
      <c r="B28">
        <v>0.69191999999999998</v>
      </c>
      <c r="C28">
        <f>MAX(B28:B31)</f>
        <v>0.69191999999999998</v>
      </c>
    </row>
    <row r="29" spans="1:3" x14ac:dyDescent="0.25">
      <c r="A29" t="s">
        <v>36</v>
      </c>
      <c r="B29">
        <v>0.62185000000000001</v>
      </c>
    </row>
    <row r="30" spans="1:3" x14ac:dyDescent="0.25">
      <c r="A30" t="s">
        <v>36</v>
      </c>
      <c r="B30">
        <v>0.65207999999999999</v>
      </c>
    </row>
    <row r="31" spans="1:3" x14ac:dyDescent="0.25">
      <c r="A31" t="s">
        <v>36</v>
      </c>
      <c r="B31">
        <v>0.66554000000000002</v>
      </c>
    </row>
    <row r="32" spans="1:3" x14ac:dyDescent="0.25">
      <c r="A32" t="s">
        <v>17</v>
      </c>
      <c r="B32">
        <v>0.41685</v>
      </c>
      <c r="C32">
        <f>MAX(B32:B35)</f>
        <v>0.71584999999999999</v>
      </c>
    </row>
    <row r="33" spans="1:3" x14ac:dyDescent="0.25">
      <c r="A33" t="s">
        <v>17</v>
      </c>
      <c r="B33">
        <v>0.71584999999999999</v>
      </c>
    </row>
    <row r="34" spans="1:3" x14ac:dyDescent="0.25">
      <c r="A34" t="s">
        <v>17</v>
      </c>
      <c r="B34">
        <v>0.67945999999999995</v>
      </c>
    </row>
    <row r="35" spans="1:3" x14ac:dyDescent="0.25">
      <c r="A35" t="s">
        <v>17</v>
      </c>
      <c r="B35">
        <v>0.69762000000000002</v>
      </c>
    </row>
    <row r="36" spans="1:3" x14ac:dyDescent="0.25">
      <c r="A36" t="s">
        <v>37</v>
      </c>
      <c r="B36">
        <v>0.48437999999999998</v>
      </c>
      <c r="C36">
        <f>MAX(B36:B38)</f>
        <v>0.79884999999999995</v>
      </c>
    </row>
    <row r="37" spans="1:3" x14ac:dyDescent="0.25">
      <c r="A37" t="s">
        <v>37</v>
      </c>
      <c r="B37">
        <v>0.79884999999999995</v>
      </c>
    </row>
    <row r="38" spans="1:3" x14ac:dyDescent="0.25">
      <c r="A38" t="s">
        <v>37</v>
      </c>
      <c r="B38">
        <v>0.79408000000000001</v>
      </c>
    </row>
    <row r="39" spans="1:3" x14ac:dyDescent="0.25">
      <c r="A39" t="s">
        <v>38</v>
      </c>
      <c r="B39">
        <v>0.50680999999999998</v>
      </c>
      <c r="C39">
        <f>MAX(B39:B42)</f>
        <v>0.63968999999999998</v>
      </c>
    </row>
    <row r="40" spans="1:3" x14ac:dyDescent="0.25">
      <c r="A40" t="s">
        <v>38</v>
      </c>
      <c r="B40">
        <v>0.46515000000000001</v>
      </c>
    </row>
    <row r="41" spans="1:3" x14ac:dyDescent="0.25">
      <c r="A41" t="s">
        <v>38</v>
      </c>
      <c r="B41">
        <v>0.38338</v>
      </c>
    </row>
    <row r="42" spans="1:3" x14ac:dyDescent="0.25">
      <c r="A42" t="s">
        <v>38</v>
      </c>
      <c r="B42">
        <v>0.63968999999999998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F3F352-3EF6-4C40-860C-2F33291BDFA8}">
  <dimension ref="A1:C33"/>
  <sheetViews>
    <sheetView workbookViewId="0">
      <selection activeCell="C33" sqref="C33"/>
    </sheetView>
  </sheetViews>
  <sheetFormatPr defaultRowHeight="15" x14ac:dyDescent="0.25"/>
  <sheetData>
    <row r="1" spans="1:3" x14ac:dyDescent="0.25">
      <c r="A1" t="s">
        <v>29</v>
      </c>
      <c r="B1" t="s">
        <v>30</v>
      </c>
    </row>
    <row r="2" spans="1:3" x14ac:dyDescent="0.25">
      <c r="A2" t="s">
        <v>14</v>
      </c>
      <c r="B2">
        <v>0.99577000000000004</v>
      </c>
      <c r="C2">
        <f>MAX(B2:B3)</f>
        <v>0.99717999999999996</v>
      </c>
    </row>
    <row r="3" spans="1:3" x14ac:dyDescent="0.25">
      <c r="A3" t="s">
        <v>14</v>
      </c>
      <c r="B3">
        <v>0.99717999999999996</v>
      </c>
    </row>
    <row r="4" spans="1:3" x14ac:dyDescent="0.25">
      <c r="A4" t="s">
        <v>31</v>
      </c>
      <c r="B4">
        <v>0.99155000000000004</v>
      </c>
      <c r="C4">
        <f>MAX(B4:B6)</f>
        <v>0.99717999999999996</v>
      </c>
    </row>
    <row r="5" spans="1:3" x14ac:dyDescent="0.25">
      <c r="A5" t="s">
        <v>31</v>
      </c>
      <c r="B5">
        <v>0.99436999999999998</v>
      </c>
    </row>
    <row r="6" spans="1:3" x14ac:dyDescent="0.25">
      <c r="A6" t="s">
        <v>31</v>
      </c>
      <c r="B6">
        <v>0.99717999999999996</v>
      </c>
    </row>
    <row r="7" spans="1:3" x14ac:dyDescent="0.25">
      <c r="A7" t="s">
        <v>32</v>
      </c>
      <c r="B7">
        <v>0.99248999999999998</v>
      </c>
      <c r="C7">
        <f>MAX(B7:B9)</f>
        <v>0.99670999999999998</v>
      </c>
    </row>
    <row r="8" spans="1:3" x14ac:dyDescent="0.25">
      <c r="A8" t="s">
        <v>32</v>
      </c>
      <c r="B8">
        <v>0.99531000000000003</v>
      </c>
    </row>
    <row r="9" spans="1:3" x14ac:dyDescent="0.25">
      <c r="A9" t="s">
        <v>32</v>
      </c>
      <c r="B9">
        <v>0.99670999999999998</v>
      </c>
    </row>
    <row r="10" spans="1:3" x14ac:dyDescent="0.25">
      <c r="A10" t="s">
        <v>33</v>
      </c>
      <c r="B10">
        <v>0.99295999999999995</v>
      </c>
      <c r="C10">
        <f>MAX(B10:B11)</f>
        <v>0.99390000000000001</v>
      </c>
    </row>
    <row r="11" spans="1:3" x14ac:dyDescent="0.25">
      <c r="A11" t="s">
        <v>33</v>
      </c>
      <c r="B11">
        <v>0.99390000000000001</v>
      </c>
    </row>
    <row r="12" spans="1:3" x14ac:dyDescent="0.25">
      <c r="A12" t="s">
        <v>34</v>
      </c>
      <c r="B12">
        <v>0.97840000000000005</v>
      </c>
      <c r="C12">
        <f>MAX(B12:B14)</f>
        <v>0.98028000000000004</v>
      </c>
    </row>
    <row r="13" spans="1:3" x14ac:dyDescent="0.25">
      <c r="A13" t="s">
        <v>34</v>
      </c>
      <c r="B13">
        <v>0.97887000000000002</v>
      </c>
    </row>
    <row r="14" spans="1:3" x14ac:dyDescent="0.25">
      <c r="A14" t="s">
        <v>34</v>
      </c>
      <c r="B14">
        <v>0.98028000000000004</v>
      </c>
    </row>
    <row r="15" spans="1:3" x14ac:dyDescent="0.25">
      <c r="A15" t="s">
        <v>16</v>
      </c>
      <c r="B15">
        <v>0.95728000000000002</v>
      </c>
      <c r="C15">
        <f>MAX(B15:B17)</f>
        <v>0.96526000000000001</v>
      </c>
    </row>
    <row r="16" spans="1:3" x14ac:dyDescent="0.25">
      <c r="A16" t="s">
        <v>16</v>
      </c>
      <c r="B16">
        <v>0.96338000000000001</v>
      </c>
    </row>
    <row r="17" spans="1:3" x14ac:dyDescent="0.25">
      <c r="A17" t="s">
        <v>16</v>
      </c>
      <c r="B17">
        <v>0.96526000000000001</v>
      </c>
    </row>
    <row r="18" spans="1:3" x14ac:dyDescent="0.25">
      <c r="A18" t="s">
        <v>35</v>
      </c>
      <c r="B18">
        <v>0.95962000000000003</v>
      </c>
      <c r="C18">
        <f>MAX(B18:B20)</f>
        <v>0.96736999999999995</v>
      </c>
    </row>
    <row r="19" spans="1:3" x14ac:dyDescent="0.25">
      <c r="A19" t="s">
        <v>35</v>
      </c>
      <c r="B19">
        <v>0.96103000000000005</v>
      </c>
    </row>
    <row r="20" spans="1:3" x14ac:dyDescent="0.25">
      <c r="A20" t="s">
        <v>35</v>
      </c>
      <c r="B20">
        <v>0.96736999999999995</v>
      </c>
    </row>
    <row r="21" spans="1:3" x14ac:dyDescent="0.25">
      <c r="A21" t="s">
        <v>15</v>
      </c>
      <c r="B21">
        <v>0.99343000000000004</v>
      </c>
      <c r="C21">
        <f>MAX(B21:B23)</f>
        <v>0.99483999999999995</v>
      </c>
    </row>
    <row r="22" spans="1:3" x14ac:dyDescent="0.25">
      <c r="A22" t="s">
        <v>15</v>
      </c>
      <c r="B22">
        <v>0.99436999999999998</v>
      </c>
    </row>
    <row r="23" spans="1:3" x14ac:dyDescent="0.25">
      <c r="A23" t="s">
        <v>15</v>
      </c>
      <c r="B23">
        <v>0.99483999999999995</v>
      </c>
    </row>
    <row r="24" spans="1:3" x14ac:dyDescent="0.25">
      <c r="A24" t="s">
        <v>36</v>
      </c>
      <c r="B24">
        <v>0.64788999999999997</v>
      </c>
      <c r="C24">
        <f>MAX(B24:B27)</f>
        <v>0.64788999999999997</v>
      </c>
    </row>
    <row r="25" spans="1:3" x14ac:dyDescent="0.25">
      <c r="A25" t="s">
        <v>36</v>
      </c>
      <c r="B25">
        <v>0.6169</v>
      </c>
    </row>
    <row r="26" spans="1:3" x14ac:dyDescent="0.25">
      <c r="A26" t="s">
        <v>36</v>
      </c>
      <c r="B26">
        <v>0.62770000000000004</v>
      </c>
    </row>
    <row r="27" spans="1:3" x14ac:dyDescent="0.25">
      <c r="A27" t="s">
        <v>36</v>
      </c>
      <c r="B27">
        <v>0.55586999999999998</v>
      </c>
    </row>
    <row r="28" spans="1:3" x14ac:dyDescent="0.25">
      <c r="A28" t="s">
        <v>17</v>
      </c>
      <c r="B28">
        <v>0.99060999999999999</v>
      </c>
      <c r="C28">
        <f>MAX(B28:B30)</f>
        <v>0.99717999999999996</v>
      </c>
    </row>
    <row r="29" spans="1:3" x14ac:dyDescent="0.25">
      <c r="A29" t="s">
        <v>17</v>
      </c>
      <c r="B29">
        <v>0.99624000000000001</v>
      </c>
    </row>
    <row r="30" spans="1:3" x14ac:dyDescent="0.25">
      <c r="A30" t="s">
        <v>17</v>
      </c>
      <c r="B30">
        <v>0.99717999999999996</v>
      </c>
    </row>
    <row r="31" spans="1:3" x14ac:dyDescent="0.25">
      <c r="A31" t="s">
        <v>37</v>
      </c>
      <c r="B31">
        <v>0.99390000000000001</v>
      </c>
      <c r="C31">
        <f>B31</f>
        <v>0.99390000000000001</v>
      </c>
    </row>
    <row r="32" spans="1:3" x14ac:dyDescent="0.25">
      <c r="A32" t="s">
        <v>38</v>
      </c>
      <c r="B32">
        <v>0.99436999999999998</v>
      </c>
      <c r="C32">
        <f>MAX(B32:B33)</f>
        <v>0.99436999999999998</v>
      </c>
    </row>
    <row r="33" spans="1:2" x14ac:dyDescent="0.25">
      <c r="A33" t="s">
        <v>38</v>
      </c>
      <c r="B33">
        <v>0.99202000000000001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A4D3B8-EA7D-4BBD-950A-F6390B43B165}">
  <dimension ref="A1:C38"/>
  <sheetViews>
    <sheetView topLeftCell="A4" workbookViewId="0">
      <selection activeCell="C38" sqref="C38"/>
    </sheetView>
  </sheetViews>
  <sheetFormatPr defaultRowHeight="15" x14ac:dyDescent="0.25"/>
  <sheetData>
    <row r="1" spans="1:3" x14ac:dyDescent="0.25">
      <c r="A1" t="s">
        <v>29</v>
      </c>
      <c r="B1" t="s">
        <v>30</v>
      </c>
    </row>
    <row r="2" spans="1:3" x14ac:dyDescent="0.25">
      <c r="A2" t="s">
        <v>14</v>
      </c>
      <c r="B2">
        <v>0.55615000000000003</v>
      </c>
      <c r="C2">
        <f>MAX(B2:B5)</f>
        <v>0.57347000000000004</v>
      </c>
    </row>
    <row r="3" spans="1:3" x14ac:dyDescent="0.25">
      <c r="A3" t="s">
        <v>14</v>
      </c>
      <c r="B3">
        <v>0.56925999999999999</v>
      </c>
    </row>
    <row r="4" spans="1:3" x14ac:dyDescent="0.25">
      <c r="A4" t="s">
        <v>14</v>
      </c>
      <c r="B4">
        <v>0.57174000000000003</v>
      </c>
    </row>
    <row r="5" spans="1:3" x14ac:dyDescent="0.25">
      <c r="A5" t="s">
        <v>14</v>
      </c>
      <c r="B5">
        <v>0.57347000000000004</v>
      </c>
    </row>
    <row r="6" spans="1:3" x14ac:dyDescent="0.25">
      <c r="A6" t="s">
        <v>31</v>
      </c>
      <c r="B6">
        <v>0.55745</v>
      </c>
      <c r="C6">
        <f>MAX(B6:B8)</f>
        <v>0.56618000000000002</v>
      </c>
    </row>
    <row r="7" spans="1:3" x14ac:dyDescent="0.25">
      <c r="A7" t="s">
        <v>31</v>
      </c>
      <c r="B7">
        <v>0.56489999999999996</v>
      </c>
    </row>
    <row r="8" spans="1:3" x14ac:dyDescent="0.25">
      <c r="A8" t="s">
        <v>31</v>
      </c>
      <c r="B8">
        <v>0.56618000000000002</v>
      </c>
    </row>
    <row r="9" spans="1:3" x14ac:dyDescent="0.25">
      <c r="A9" t="s">
        <v>32</v>
      </c>
      <c r="B9">
        <v>0.47383999999999998</v>
      </c>
      <c r="C9">
        <f>MAX(B9:B11)</f>
        <v>0.47383999999999998</v>
      </c>
    </row>
    <row r="10" spans="1:3" x14ac:dyDescent="0.25">
      <c r="A10" t="s">
        <v>32</v>
      </c>
      <c r="B10">
        <v>0.46977000000000002</v>
      </c>
    </row>
    <row r="11" spans="1:3" x14ac:dyDescent="0.25">
      <c r="A11" t="s">
        <v>32</v>
      </c>
      <c r="B11">
        <v>0.44077</v>
      </c>
    </row>
    <row r="12" spans="1:3" x14ac:dyDescent="0.25">
      <c r="A12" t="s">
        <v>33</v>
      </c>
      <c r="B12">
        <v>0.50119000000000002</v>
      </c>
      <c r="C12">
        <f>MAX(B12:B13)</f>
        <v>0.50119000000000002</v>
      </c>
    </row>
    <row r="13" spans="1:3" x14ac:dyDescent="0.25">
      <c r="A13" t="s">
        <v>33</v>
      </c>
      <c r="B13">
        <v>0.41348000000000001</v>
      </c>
    </row>
    <row r="14" spans="1:3" x14ac:dyDescent="0.25">
      <c r="A14" t="s">
        <v>34</v>
      </c>
      <c r="B14">
        <v>0.48381000000000002</v>
      </c>
      <c r="C14">
        <f>MAX(B14:B15)</f>
        <v>0.49658000000000002</v>
      </c>
    </row>
    <row r="15" spans="1:3" x14ac:dyDescent="0.25">
      <c r="A15" t="s">
        <v>34</v>
      </c>
      <c r="B15">
        <v>0.49658000000000002</v>
      </c>
    </row>
    <row r="16" spans="1:3" x14ac:dyDescent="0.25">
      <c r="A16" t="s">
        <v>16</v>
      </c>
      <c r="B16">
        <v>0.46695999999999999</v>
      </c>
      <c r="C16">
        <f>MAX(B16:B19)</f>
        <v>0.47960000000000003</v>
      </c>
    </row>
    <row r="17" spans="1:3" x14ac:dyDescent="0.25">
      <c r="A17" t="s">
        <v>16</v>
      </c>
      <c r="B17">
        <v>0.47960000000000003</v>
      </c>
    </row>
    <row r="18" spans="1:3" x14ac:dyDescent="0.25">
      <c r="A18" t="s">
        <v>16</v>
      </c>
      <c r="B18">
        <v>0.47815000000000002</v>
      </c>
    </row>
    <row r="19" spans="1:3" x14ac:dyDescent="0.25">
      <c r="A19" t="s">
        <v>16</v>
      </c>
      <c r="B19">
        <v>0.42636000000000002</v>
      </c>
    </row>
    <row r="20" spans="1:3" x14ac:dyDescent="0.25">
      <c r="A20" t="s">
        <v>35</v>
      </c>
      <c r="B20">
        <v>0.51495000000000002</v>
      </c>
      <c r="C20">
        <f>MAX(B20:B23)</f>
        <v>0.51910000000000001</v>
      </c>
    </row>
    <row r="21" spans="1:3" x14ac:dyDescent="0.25">
      <c r="A21" t="s">
        <v>35</v>
      </c>
      <c r="B21">
        <v>0.51861999999999997</v>
      </c>
    </row>
    <row r="22" spans="1:3" x14ac:dyDescent="0.25">
      <c r="A22" t="s">
        <v>35</v>
      </c>
      <c r="B22">
        <v>0.51910000000000001</v>
      </c>
    </row>
    <row r="23" spans="1:3" x14ac:dyDescent="0.25">
      <c r="A23" t="s">
        <v>35</v>
      </c>
      <c r="B23">
        <v>0.51822000000000001</v>
      </c>
    </row>
    <row r="24" spans="1:3" x14ac:dyDescent="0.25">
      <c r="A24" t="s">
        <v>15</v>
      </c>
      <c r="B24">
        <v>0.43720999999999999</v>
      </c>
      <c r="C24">
        <f>MAX(B24:B25)</f>
        <v>0.43720999999999999</v>
      </c>
    </row>
    <row r="25" spans="1:3" x14ac:dyDescent="0.25">
      <c r="A25" t="s">
        <v>15</v>
      </c>
      <c r="B25">
        <v>0.42781999999999998</v>
      </c>
    </row>
    <row r="26" spans="1:3" x14ac:dyDescent="0.25">
      <c r="A26" t="s">
        <v>36</v>
      </c>
      <c r="B26">
        <v>0.45831</v>
      </c>
      <c r="C26">
        <f>MAX(B26:B29)</f>
        <v>0.47666999999999998</v>
      </c>
    </row>
    <row r="27" spans="1:3" x14ac:dyDescent="0.25">
      <c r="A27" t="s">
        <v>36</v>
      </c>
      <c r="B27">
        <v>0.41425000000000001</v>
      </c>
    </row>
    <row r="28" spans="1:3" x14ac:dyDescent="0.25">
      <c r="A28" t="s">
        <v>36</v>
      </c>
      <c r="B28">
        <v>0.47589999999999999</v>
      </c>
    </row>
    <row r="29" spans="1:3" x14ac:dyDescent="0.25">
      <c r="A29" t="s">
        <v>36</v>
      </c>
      <c r="B29">
        <v>0.47666999999999998</v>
      </c>
    </row>
    <row r="30" spans="1:3" x14ac:dyDescent="0.25">
      <c r="A30" t="s">
        <v>17</v>
      </c>
      <c r="B30">
        <v>0.48171000000000003</v>
      </c>
      <c r="C30">
        <f>MAX(B30:B33)</f>
        <v>0.53641000000000005</v>
      </c>
    </row>
    <row r="31" spans="1:3" x14ac:dyDescent="0.25">
      <c r="A31" t="s">
        <v>17</v>
      </c>
      <c r="B31">
        <v>0.48127999999999999</v>
      </c>
    </row>
    <row r="32" spans="1:3" x14ac:dyDescent="0.25">
      <c r="A32" t="s">
        <v>17</v>
      </c>
      <c r="B32">
        <v>0.53117999999999999</v>
      </c>
    </row>
    <row r="33" spans="1:3" x14ac:dyDescent="0.25">
      <c r="A33" t="s">
        <v>17</v>
      </c>
      <c r="B33">
        <v>0.53641000000000005</v>
      </c>
    </row>
    <row r="34" spans="1:3" x14ac:dyDescent="0.25">
      <c r="A34" t="s">
        <v>37</v>
      </c>
      <c r="B34">
        <v>0.47381000000000001</v>
      </c>
      <c r="C34">
        <f>MAX(B34:B36)</f>
        <v>0.47381000000000001</v>
      </c>
    </row>
    <row r="35" spans="1:3" x14ac:dyDescent="0.25">
      <c r="A35" t="s">
        <v>37</v>
      </c>
      <c r="B35">
        <v>0.47099000000000002</v>
      </c>
    </row>
    <row r="36" spans="1:3" x14ac:dyDescent="0.25">
      <c r="A36" t="s">
        <v>37</v>
      </c>
      <c r="B36">
        <v>0.44855</v>
      </c>
    </row>
    <row r="37" spans="1:3" x14ac:dyDescent="0.25">
      <c r="A37" t="s">
        <v>38</v>
      </c>
      <c r="B37">
        <v>0.48259000000000002</v>
      </c>
      <c r="C37">
        <f>MAX(B37:B38)</f>
        <v>0.49945000000000001</v>
      </c>
    </row>
    <row r="38" spans="1:3" x14ac:dyDescent="0.25">
      <c r="A38" t="s">
        <v>38</v>
      </c>
      <c r="B38">
        <v>0.49945000000000001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8B5A3-CE5B-4A8C-9C85-AF312DF32E51}">
  <dimension ref="A1:C35"/>
  <sheetViews>
    <sheetView workbookViewId="0">
      <selection activeCell="C34" sqref="C34"/>
    </sheetView>
  </sheetViews>
  <sheetFormatPr defaultRowHeight="15" x14ac:dyDescent="0.25"/>
  <sheetData>
    <row r="1" spans="1:3" x14ac:dyDescent="0.25">
      <c r="A1" t="s">
        <v>29</v>
      </c>
      <c r="B1" t="s">
        <v>30</v>
      </c>
    </row>
    <row r="2" spans="1:3" x14ac:dyDescent="0.25">
      <c r="A2" t="s">
        <v>14</v>
      </c>
      <c r="B2">
        <v>0.54093000000000002</v>
      </c>
      <c r="C2">
        <f>MAX(B2:B3)</f>
        <v>0.54093000000000002</v>
      </c>
    </row>
    <row r="3" spans="1:3" x14ac:dyDescent="0.25">
      <c r="A3" t="s">
        <v>14</v>
      </c>
      <c r="B3">
        <v>0.50585000000000002</v>
      </c>
    </row>
    <row r="4" spans="1:3" x14ac:dyDescent="0.25">
      <c r="A4" t="s">
        <v>31</v>
      </c>
      <c r="B4">
        <v>0.51951999999999998</v>
      </c>
      <c r="C4">
        <f>MAX(B4:B7)</f>
        <v>0.53190999999999999</v>
      </c>
    </row>
    <row r="5" spans="1:3" x14ac:dyDescent="0.25">
      <c r="A5" t="s">
        <v>31</v>
      </c>
      <c r="B5">
        <v>0.53190999999999999</v>
      </c>
    </row>
    <row r="6" spans="1:3" x14ac:dyDescent="0.25">
      <c r="A6" t="s">
        <v>31</v>
      </c>
      <c r="B6">
        <v>0.52966000000000002</v>
      </c>
    </row>
    <row r="7" spans="1:3" x14ac:dyDescent="0.25">
      <c r="A7" t="s">
        <v>31</v>
      </c>
      <c r="B7">
        <v>0.52924000000000004</v>
      </c>
    </row>
    <row r="8" spans="1:3" x14ac:dyDescent="0.25">
      <c r="A8" t="s">
        <v>32</v>
      </c>
      <c r="B8">
        <v>0.52049999999999996</v>
      </c>
      <c r="C8">
        <f>MAX(B8:B10)</f>
        <v>0.52542999999999995</v>
      </c>
    </row>
    <row r="9" spans="1:3" x14ac:dyDescent="0.25">
      <c r="A9" t="s">
        <v>32</v>
      </c>
      <c r="B9">
        <v>0.52542999999999995</v>
      </c>
    </row>
    <row r="10" spans="1:3" x14ac:dyDescent="0.25">
      <c r="A10" t="s">
        <v>32</v>
      </c>
      <c r="B10">
        <v>0.52431000000000005</v>
      </c>
    </row>
    <row r="11" spans="1:3" x14ac:dyDescent="0.25">
      <c r="A11" t="s">
        <v>33</v>
      </c>
      <c r="B11">
        <v>0.50183</v>
      </c>
      <c r="C11">
        <f>MAX(B11:B13)</f>
        <v>0.50183</v>
      </c>
    </row>
    <row r="12" spans="1:3" x14ac:dyDescent="0.25">
      <c r="A12" t="s">
        <v>33</v>
      </c>
      <c r="B12">
        <v>0.46189000000000002</v>
      </c>
    </row>
    <row r="13" spans="1:3" x14ac:dyDescent="0.25">
      <c r="A13" t="s">
        <v>33</v>
      </c>
      <c r="B13">
        <v>0.49682999999999999</v>
      </c>
    </row>
    <row r="14" spans="1:3" x14ac:dyDescent="0.25">
      <c r="A14" t="s">
        <v>34</v>
      </c>
      <c r="B14">
        <v>0.50183</v>
      </c>
      <c r="C14">
        <f>MAX(B14:B16)</f>
        <v>0.50183</v>
      </c>
    </row>
    <row r="15" spans="1:3" x14ac:dyDescent="0.25">
      <c r="A15" t="s">
        <v>34</v>
      </c>
      <c r="B15">
        <v>0.47619</v>
      </c>
    </row>
    <row r="16" spans="1:3" x14ac:dyDescent="0.25">
      <c r="A16" t="s">
        <v>34</v>
      </c>
      <c r="B16">
        <v>0.49084</v>
      </c>
    </row>
    <row r="17" spans="1:3" x14ac:dyDescent="0.25">
      <c r="A17" t="s">
        <v>16</v>
      </c>
      <c r="B17">
        <v>0.50007000000000001</v>
      </c>
      <c r="C17">
        <f>MAX(B17:B18)</f>
        <v>0.50344999999999995</v>
      </c>
    </row>
    <row r="18" spans="1:3" x14ac:dyDescent="0.25">
      <c r="A18" t="s">
        <v>16</v>
      </c>
      <c r="B18">
        <v>0.50344999999999995</v>
      </c>
    </row>
    <row r="19" spans="1:3" x14ac:dyDescent="0.25">
      <c r="A19" t="s">
        <v>35</v>
      </c>
      <c r="B19">
        <v>0.50726000000000004</v>
      </c>
      <c r="C19">
        <f>MAX(B19:B20)</f>
        <v>0.50726000000000004</v>
      </c>
    </row>
    <row r="20" spans="1:3" x14ac:dyDescent="0.25">
      <c r="A20" t="s">
        <v>35</v>
      </c>
      <c r="B20">
        <v>0.48048000000000002</v>
      </c>
    </row>
    <row r="21" spans="1:3" x14ac:dyDescent="0.25">
      <c r="A21" t="s">
        <v>15</v>
      </c>
      <c r="B21">
        <v>0.52669999999999995</v>
      </c>
      <c r="C21">
        <f>MAX(B21:B23)</f>
        <v>0.53417000000000003</v>
      </c>
    </row>
    <row r="22" spans="1:3" x14ac:dyDescent="0.25">
      <c r="A22" t="s">
        <v>15</v>
      </c>
      <c r="B22">
        <v>0.53036000000000005</v>
      </c>
    </row>
    <row r="23" spans="1:3" x14ac:dyDescent="0.25">
      <c r="A23" t="s">
        <v>15</v>
      </c>
      <c r="B23">
        <v>0.53417000000000003</v>
      </c>
    </row>
    <row r="24" spans="1:3" x14ac:dyDescent="0.25">
      <c r="A24" t="s">
        <v>36</v>
      </c>
      <c r="B24">
        <v>0.51853000000000005</v>
      </c>
      <c r="C24">
        <f>MAX(B24:B26)</f>
        <v>0.51853000000000005</v>
      </c>
    </row>
    <row r="25" spans="1:3" x14ac:dyDescent="0.25">
      <c r="A25" t="s">
        <v>36</v>
      </c>
      <c r="B25">
        <v>0.51726000000000005</v>
      </c>
    </row>
    <row r="26" spans="1:3" x14ac:dyDescent="0.25">
      <c r="A26" t="s">
        <v>36</v>
      </c>
      <c r="B26">
        <v>0.49556</v>
      </c>
    </row>
    <row r="27" spans="1:3" x14ac:dyDescent="0.25">
      <c r="A27" t="s">
        <v>17</v>
      </c>
      <c r="B27">
        <v>0.53205999999999998</v>
      </c>
      <c r="C27">
        <f>MAX(B27:B29)</f>
        <v>0.58291999999999999</v>
      </c>
    </row>
    <row r="28" spans="1:3" x14ac:dyDescent="0.25">
      <c r="A28" t="s">
        <v>17</v>
      </c>
      <c r="B28">
        <v>0.56559000000000004</v>
      </c>
    </row>
    <row r="29" spans="1:3" x14ac:dyDescent="0.25">
      <c r="A29" t="s">
        <v>17</v>
      </c>
      <c r="B29">
        <v>0.58291999999999999</v>
      </c>
    </row>
    <row r="30" spans="1:3" x14ac:dyDescent="0.25">
      <c r="A30" t="s">
        <v>37</v>
      </c>
      <c r="B30">
        <v>0.48837999999999998</v>
      </c>
      <c r="C30">
        <f>MAX(B30:B32)</f>
        <v>0.49569999999999997</v>
      </c>
    </row>
    <row r="31" spans="1:3" x14ac:dyDescent="0.25">
      <c r="A31" t="s">
        <v>37</v>
      </c>
      <c r="B31">
        <v>0.47089999999999999</v>
      </c>
    </row>
    <row r="32" spans="1:3" x14ac:dyDescent="0.25">
      <c r="A32" t="s">
        <v>37</v>
      </c>
      <c r="B32">
        <v>0.49569999999999997</v>
      </c>
    </row>
    <row r="33" spans="1:3" x14ac:dyDescent="0.25">
      <c r="A33" t="s">
        <v>38</v>
      </c>
      <c r="B33">
        <v>0.54615000000000002</v>
      </c>
      <c r="C33">
        <f>MAX(B33:B35)</f>
        <v>0.55686000000000002</v>
      </c>
    </row>
    <row r="34" spans="1:3" x14ac:dyDescent="0.25">
      <c r="A34" t="s">
        <v>38</v>
      </c>
      <c r="B34">
        <v>0.55318999999999996</v>
      </c>
    </row>
    <row r="35" spans="1:3" x14ac:dyDescent="0.25">
      <c r="A35" t="s">
        <v>38</v>
      </c>
      <c r="B35">
        <v>0.55686000000000002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796E0-256A-4A27-9A69-9963FBE3B123}">
  <dimension ref="A1:C43"/>
  <sheetViews>
    <sheetView topLeftCell="A10" workbookViewId="0">
      <selection activeCell="C41" sqref="C41"/>
    </sheetView>
  </sheetViews>
  <sheetFormatPr defaultRowHeight="15" x14ac:dyDescent="0.25"/>
  <sheetData>
    <row r="1" spans="1:3" x14ac:dyDescent="0.25">
      <c r="A1" t="s">
        <v>29</v>
      </c>
      <c r="B1" t="s">
        <v>30</v>
      </c>
    </row>
    <row r="2" spans="1:3" x14ac:dyDescent="0.25">
      <c r="A2" t="s">
        <v>14</v>
      </c>
      <c r="B2">
        <v>0.68010999999999999</v>
      </c>
      <c r="C2">
        <f>MAX(B2:B5)</f>
        <v>0.68383000000000005</v>
      </c>
    </row>
    <row r="3" spans="1:3" x14ac:dyDescent="0.25">
      <c r="A3" t="s">
        <v>14</v>
      </c>
      <c r="B3">
        <v>0.68383000000000005</v>
      </c>
    </row>
    <row r="4" spans="1:3" x14ac:dyDescent="0.25">
      <c r="A4" t="s">
        <v>14</v>
      </c>
      <c r="B4">
        <v>0.67630999999999997</v>
      </c>
    </row>
    <row r="5" spans="1:3" x14ac:dyDescent="0.25">
      <c r="A5" t="s">
        <v>14</v>
      </c>
      <c r="B5">
        <v>0.68213999999999997</v>
      </c>
    </row>
    <row r="6" spans="1:3" x14ac:dyDescent="0.25">
      <c r="A6" t="s">
        <v>31</v>
      </c>
      <c r="B6">
        <v>0.66056000000000004</v>
      </c>
      <c r="C6">
        <f>MAX(B6:B8)</f>
        <v>0.66883000000000004</v>
      </c>
    </row>
    <row r="7" spans="1:3" x14ac:dyDescent="0.25">
      <c r="A7" t="s">
        <v>31</v>
      </c>
      <c r="B7">
        <v>0.66861000000000004</v>
      </c>
    </row>
    <row r="8" spans="1:3" x14ac:dyDescent="0.25">
      <c r="A8" t="s">
        <v>31</v>
      </c>
      <c r="B8">
        <v>0.66883000000000004</v>
      </c>
    </row>
    <row r="9" spans="1:3" x14ac:dyDescent="0.25">
      <c r="A9" t="s">
        <v>32</v>
      </c>
      <c r="B9">
        <v>0.62133000000000005</v>
      </c>
      <c r="C9">
        <f>MAX(B9:B10)</f>
        <v>0.65583000000000002</v>
      </c>
    </row>
    <row r="10" spans="1:3" x14ac:dyDescent="0.25">
      <c r="A10" t="s">
        <v>32</v>
      </c>
      <c r="B10">
        <v>0.65583000000000002</v>
      </c>
    </row>
    <row r="11" spans="1:3" x14ac:dyDescent="0.25">
      <c r="A11" t="s">
        <v>33</v>
      </c>
      <c r="B11">
        <v>0.54978000000000005</v>
      </c>
      <c r="C11">
        <f>MAX(B11:B13)</f>
        <v>0.56933</v>
      </c>
    </row>
    <row r="12" spans="1:3" x14ac:dyDescent="0.25">
      <c r="A12" t="s">
        <v>33</v>
      </c>
      <c r="B12">
        <v>0.56760999999999995</v>
      </c>
    </row>
    <row r="13" spans="1:3" x14ac:dyDescent="0.25">
      <c r="A13" t="s">
        <v>33</v>
      </c>
      <c r="B13">
        <v>0.56933</v>
      </c>
    </row>
    <row r="14" spans="1:3" x14ac:dyDescent="0.25">
      <c r="A14" t="s">
        <v>34</v>
      </c>
      <c r="B14">
        <v>0.48764000000000002</v>
      </c>
      <c r="C14">
        <f>MAX(B14:B17)</f>
        <v>0.56138999999999994</v>
      </c>
    </row>
    <row r="15" spans="1:3" x14ac:dyDescent="0.25">
      <c r="A15" t="s">
        <v>34</v>
      </c>
      <c r="B15">
        <v>0.54483000000000004</v>
      </c>
    </row>
    <row r="16" spans="1:3" x14ac:dyDescent="0.25">
      <c r="A16" t="s">
        <v>34</v>
      </c>
      <c r="B16">
        <v>0.54805999999999999</v>
      </c>
    </row>
    <row r="17" spans="1:3" x14ac:dyDescent="0.25">
      <c r="A17" t="s">
        <v>34</v>
      </c>
      <c r="B17">
        <v>0.56138999999999994</v>
      </c>
    </row>
    <row r="18" spans="1:3" x14ac:dyDescent="0.25">
      <c r="A18" t="s">
        <v>16</v>
      </c>
      <c r="B18">
        <v>0.48566999999999999</v>
      </c>
      <c r="C18">
        <f>MAX(B18:B20)</f>
        <v>0.56906000000000001</v>
      </c>
    </row>
    <row r="19" spans="1:3" x14ac:dyDescent="0.25">
      <c r="A19" t="s">
        <v>16</v>
      </c>
      <c r="B19">
        <v>0.56521999999999994</v>
      </c>
    </row>
    <row r="20" spans="1:3" x14ac:dyDescent="0.25">
      <c r="A20" t="s">
        <v>16</v>
      </c>
      <c r="B20">
        <v>0.56906000000000001</v>
      </c>
    </row>
    <row r="21" spans="1:3" x14ac:dyDescent="0.25">
      <c r="A21" t="s">
        <v>35</v>
      </c>
      <c r="B21">
        <v>0.58743999999999996</v>
      </c>
      <c r="C21">
        <f>MAX(B21:B24)</f>
        <v>0.60592000000000001</v>
      </c>
    </row>
    <row r="22" spans="1:3" x14ac:dyDescent="0.25">
      <c r="A22" t="s">
        <v>35</v>
      </c>
      <c r="B22">
        <v>0.60592000000000001</v>
      </c>
    </row>
    <row r="23" spans="1:3" x14ac:dyDescent="0.25">
      <c r="A23" t="s">
        <v>35</v>
      </c>
      <c r="B23">
        <v>0.60472000000000004</v>
      </c>
    </row>
    <row r="24" spans="1:3" x14ac:dyDescent="0.25">
      <c r="A24" t="s">
        <v>35</v>
      </c>
      <c r="B24">
        <v>0.59699999999999998</v>
      </c>
    </row>
    <row r="25" spans="1:3" x14ac:dyDescent="0.25">
      <c r="A25" t="s">
        <v>15</v>
      </c>
      <c r="B25">
        <v>0.74978</v>
      </c>
      <c r="C25">
        <f>MAX(B25:B27)</f>
        <v>0.75566999999999995</v>
      </c>
    </row>
    <row r="26" spans="1:3" x14ac:dyDescent="0.25">
      <c r="A26" t="s">
        <v>15</v>
      </c>
      <c r="B26">
        <v>0.75217000000000001</v>
      </c>
    </row>
    <row r="27" spans="1:3" x14ac:dyDescent="0.25">
      <c r="A27" t="s">
        <v>15</v>
      </c>
      <c r="B27">
        <v>0.75566999999999995</v>
      </c>
    </row>
    <row r="28" spans="1:3" x14ac:dyDescent="0.25">
      <c r="A28" t="s">
        <v>36</v>
      </c>
      <c r="B28">
        <v>0.52010999999999996</v>
      </c>
      <c r="C28">
        <f>MAX(B28:B31)</f>
        <v>0.55693999999999999</v>
      </c>
    </row>
    <row r="29" spans="1:3" x14ac:dyDescent="0.25">
      <c r="A29" t="s">
        <v>36</v>
      </c>
      <c r="B29">
        <v>0.54117000000000004</v>
      </c>
    </row>
    <row r="30" spans="1:3" x14ac:dyDescent="0.25">
      <c r="A30" t="s">
        <v>36</v>
      </c>
      <c r="B30">
        <v>0.55393999999999999</v>
      </c>
    </row>
    <row r="31" spans="1:3" x14ac:dyDescent="0.25">
      <c r="A31" t="s">
        <v>36</v>
      </c>
      <c r="B31">
        <v>0.55693999999999999</v>
      </c>
    </row>
    <row r="32" spans="1:3" x14ac:dyDescent="0.25">
      <c r="A32" t="s">
        <v>17</v>
      </c>
      <c r="B32">
        <v>0.66439000000000004</v>
      </c>
      <c r="C32">
        <f>MAX(B32:B35)</f>
        <v>0.72055999999999998</v>
      </c>
    </row>
    <row r="33" spans="1:3" x14ac:dyDescent="0.25">
      <c r="A33" t="s">
        <v>17</v>
      </c>
      <c r="B33">
        <v>0.71494000000000002</v>
      </c>
    </row>
    <row r="34" spans="1:3" x14ac:dyDescent="0.25">
      <c r="A34" t="s">
        <v>17</v>
      </c>
      <c r="B34">
        <v>0.72055999999999998</v>
      </c>
    </row>
    <row r="35" spans="1:3" x14ac:dyDescent="0.25">
      <c r="A35" t="s">
        <v>17</v>
      </c>
      <c r="B35">
        <v>0.70011000000000001</v>
      </c>
    </row>
    <row r="36" spans="1:3" x14ac:dyDescent="0.25">
      <c r="A36" t="s">
        <v>37</v>
      </c>
      <c r="B36">
        <v>0.54471999999999998</v>
      </c>
      <c r="C36">
        <f>MAX(B36:B39)</f>
        <v>0.55967</v>
      </c>
    </row>
    <row r="37" spans="1:3" x14ac:dyDescent="0.25">
      <c r="A37" t="s">
        <v>37</v>
      </c>
      <c r="B37">
        <v>0.55967</v>
      </c>
    </row>
    <row r="38" spans="1:3" x14ac:dyDescent="0.25">
      <c r="A38" t="s">
        <v>37</v>
      </c>
      <c r="B38">
        <v>0.54881000000000002</v>
      </c>
    </row>
    <row r="39" spans="1:3" x14ac:dyDescent="0.25">
      <c r="A39" t="s">
        <v>37</v>
      </c>
      <c r="B39">
        <v>0.55528</v>
      </c>
    </row>
    <row r="40" spans="1:3" x14ac:dyDescent="0.25">
      <c r="A40" t="s">
        <v>38</v>
      </c>
      <c r="B40">
        <v>0.70977999999999997</v>
      </c>
      <c r="C40">
        <f>MAX(B40:B43)</f>
        <v>0.71682999999999997</v>
      </c>
    </row>
    <row r="41" spans="1:3" x14ac:dyDescent="0.25">
      <c r="A41" t="s">
        <v>38</v>
      </c>
      <c r="B41">
        <v>0.71150000000000002</v>
      </c>
    </row>
    <row r="42" spans="1:3" x14ac:dyDescent="0.25">
      <c r="A42" t="s">
        <v>38</v>
      </c>
      <c r="B42">
        <v>0.71011000000000002</v>
      </c>
    </row>
    <row r="43" spans="1:3" x14ac:dyDescent="0.25">
      <c r="A43" t="s">
        <v>38</v>
      </c>
      <c r="B43">
        <v>0.71682999999999997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9DFA3-0E78-460F-9480-3FC988D2C4F5}">
  <dimension ref="A1:C37"/>
  <sheetViews>
    <sheetView topLeftCell="A4" workbookViewId="0">
      <selection activeCell="C36" sqref="C36"/>
    </sheetView>
  </sheetViews>
  <sheetFormatPr defaultRowHeight="15" x14ac:dyDescent="0.25"/>
  <sheetData>
    <row r="1" spans="1:3" x14ac:dyDescent="0.25">
      <c r="A1" t="s">
        <v>29</v>
      </c>
      <c r="B1" t="s">
        <v>30</v>
      </c>
    </row>
    <row r="2" spans="1:3" x14ac:dyDescent="0.25">
      <c r="A2" t="s">
        <v>14</v>
      </c>
      <c r="B2">
        <v>0.84877999999999998</v>
      </c>
      <c r="C2">
        <f>MAX(B2:B4)</f>
        <v>0.87480000000000002</v>
      </c>
    </row>
    <row r="3" spans="1:3" x14ac:dyDescent="0.25">
      <c r="A3" t="s">
        <v>14</v>
      </c>
      <c r="B3">
        <v>0.86938000000000004</v>
      </c>
    </row>
    <row r="4" spans="1:3" x14ac:dyDescent="0.25">
      <c r="A4" t="s">
        <v>14</v>
      </c>
      <c r="B4">
        <v>0.87480000000000002</v>
      </c>
    </row>
    <row r="5" spans="1:3" x14ac:dyDescent="0.25">
      <c r="A5" t="s">
        <v>31</v>
      </c>
      <c r="B5">
        <v>0.88319999999999999</v>
      </c>
      <c r="C5">
        <f>MAX(B5:B6)</f>
        <v>0.88319999999999999</v>
      </c>
    </row>
    <row r="6" spans="1:3" x14ac:dyDescent="0.25">
      <c r="A6" t="s">
        <v>31</v>
      </c>
      <c r="B6">
        <v>0.86775000000000002</v>
      </c>
    </row>
    <row r="7" spans="1:3" x14ac:dyDescent="0.25">
      <c r="A7" t="s">
        <v>32</v>
      </c>
      <c r="B7">
        <v>0.67642000000000002</v>
      </c>
      <c r="C7">
        <f>MAX(B7:B9)</f>
        <v>0.86667000000000005</v>
      </c>
    </row>
    <row r="8" spans="1:3" x14ac:dyDescent="0.25">
      <c r="A8" t="s">
        <v>32</v>
      </c>
      <c r="B8">
        <v>0.58808000000000005</v>
      </c>
    </row>
    <row r="9" spans="1:3" x14ac:dyDescent="0.25">
      <c r="A9" t="s">
        <v>32</v>
      </c>
      <c r="B9">
        <v>0.86667000000000005</v>
      </c>
    </row>
    <row r="10" spans="1:3" x14ac:dyDescent="0.25">
      <c r="A10" t="s">
        <v>33</v>
      </c>
      <c r="B10">
        <v>0.64173000000000002</v>
      </c>
      <c r="C10">
        <f>MAX(B10:B11)</f>
        <v>0.86504000000000003</v>
      </c>
    </row>
    <row r="11" spans="1:3" x14ac:dyDescent="0.25">
      <c r="A11" t="s">
        <v>33</v>
      </c>
      <c r="B11">
        <v>0.86504000000000003</v>
      </c>
    </row>
    <row r="12" spans="1:3" x14ac:dyDescent="0.25">
      <c r="A12" t="s">
        <v>34</v>
      </c>
      <c r="B12">
        <v>0.67317000000000005</v>
      </c>
      <c r="C12">
        <f>MAX(B12:B14)</f>
        <v>0.83957000000000004</v>
      </c>
    </row>
    <row r="13" spans="1:3" x14ac:dyDescent="0.25">
      <c r="A13" t="s">
        <v>34</v>
      </c>
      <c r="B13">
        <v>0.61761999999999995</v>
      </c>
    </row>
    <row r="14" spans="1:3" x14ac:dyDescent="0.25">
      <c r="A14" t="s">
        <v>34</v>
      </c>
      <c r="B14">
        <v>0.83957000000000004</v>
      </c>
    </row>
    <row r="15" spans="1:3" x14ac:dyDescent="0.25">
      <c r="A15" t="s">
        <v>16</v>
      </c>
      <c r="B15">
        <v>0.58699000000000001</v>
      </c>
      <c r="C15">
        <f>MAX(B15:B17)</f>
        <v>0.77886</v>
      </c>
    </row>
    <row r="16" spans="1:3" x14ac:dyDescent="0.25">
      <c r="A16" t="s">
        <v>16</v>
      </c>
      <c r="B16">
        <v>0.73333000000000004</v>
      </c>
    </row>
    <row r="17" spans="1:3" x14ac:dyDescent="0.25">
      <c r="A17" t="s">
        <v>16</v>
      </c>
      <c r="B17">
        <v>0.77886</v>
      </c>
    </row>
    <row r="18" spans="1:3" x14ac:dyDescent="0.25">
      <c r="A18" t="s">
        <v>35</v>
      </c>
      <c r="B18">
        <v>0.5393</v>
      </c>
      <c r="C18">
        <f>MAX(B18:B21)</f>
        <v>0.72926999999999997</v>
      </c>
    </row>
    <row r="19" spans="1:3" x14ac:dyDescent="0.25">
      <c r="A19" t="s">
        <v>35</v>
      </c>
      <c r="B19">
        <v>0.55501</v>
      </c>
    </row>
    <row r="20" spans="1:3" x14ac:dyDescent="0.25">
      <c r="A20" t="s">
        <v>35</v>
      </c>
      <c r="B20">
        <v>0.72926999999999997</v>
      </c>
    </row>
    <row r="21" spans="1:3" x14ac:dyDescent="0.25">
      <c r="A21" t="s">
        <v>35</v>
      </c>
      <c r="B21">
        <v>0.71220000000000006</v>
      </c>
    </row>
    <row r="22" spans="1:3" x14ac:dyDescent="0.25">
      <c r="A22" t="s">
        <v>15</v>
      </c>
      <c r="B22">
        <v>0.78861999999999999</v>
      </c>
      <c r="C22">
        <f>MAX(B22:B24)</f>
        <v>0.85799000000000003</v>
      </c>
    </row>
    <row r="23" spans="1:3" x14ac:dyDescent="0.25">
      <c r="A23" t="s">
        <v>15</v>
      </c>
      <c r="B23">
        <v>0.84714999999999996</v>
      </c>
    </row>
    <row r="24" spans="1:3" x14ac:dyDescent="0.25">
      <c r="A24" t="s">
        <v>15</v>
      </c>
      <c r="B24">
        <v>0.85799000000000003</v>
      </c>
    </row>
    <row r="25" spans="1:3" x14ac:dyDescent="0.25">
      <c r="A25" t="s">
        <v>36</v>
      </c>
      <c r="B25">
        <v>0.50678000000000001</v>
      </c>
      <c r="C25">
        <f>MAX(B25:B27)</f>
        <v>0.74200999999999995</v>
      </c>
    </row>
    <row r="26" spans="1:3" x14ac:dyDescent="0.25">
      <c r="A26" t="s">
        <v>36</v>
      </c>
      <c r="B26">
        <v>0.71762000000000004</v>
      </c>
    </row>
    <row r="27" spans="1:3" x14ac:dyDescent="0.25">
      <c r="A27" t="s">
        <v>36</v>
      </c>
      <c r="B27">
        <v>0.74200999999999995</v>
      </c>
    </row>
    <row r="28" spans="1:3" x14ac:dyDescent="0.25">
      <c r="A28" t="s">
        <v>17</v>
      </c>
      <c r="B28">
        <v>0.65256999999999998</v>
      </c>
      <c r="C28">
        <f>MAX(B28:B31)</f>
        <v>0.90351999999999999</v>
      </c>
    </row>
    <row r="29" spans="1:3" x14ac:dyDescent="0.25">
      <c r="A29" t="s">
        <v>17</v>
      </c>
      <c r="B29">
        <v>0.60487999999999997</v>
      </c>
    </row>
    <row r="30" spans="1:3" x14ac:dyDescent="0.25">
      <c r="A30" t="s">
        <v>17</v>
      </c>
      <c r="B30">
        <v>0.62385000000000002</v>
      </c>
    </row>
    <row r="31" spans="1:3" x14ac:dyDescent="0.25">
      <c r="A31" t="s">
        <v>17</v>
      </c>
      <c r="B31">
        <v>0.90351999999999999</v>
      </c>
    </row>
    <row r="32" spans="1:3" x14ac:dyDescent="0.25">
      <c r="A32" t="s">
        <v>37</v>
      </c>
      <c r="B32">
        <v>0.69621</v>
      </c>
      <c r="C32">
        <f>MAX(B32:B34)</f>
        <v>0.80379</v>
      </c>
    </row>
    <row r="33" spans="1:3" x14ac:dyDescent="0.25">
      <c r="A33" t="s">
        <v>37</v>
      </c>
      <c r="B33">
        <v>0.74958999999999998</v>
      </c>
    </row>
    <row r="34" spans="1:3" x14ac:dyDescent="0.25">
      <c r="A34" t="s">
        <v>37</v>
      </c>
      <c r="B34">
        <v>0.80379</v>
      </c>
    </row>
    <row r="35" spans="1:3" x14ac:dyDescent="0.25">
      <c r="A35" t="s">
        <v>38</v>
      </c>
      <c r="B35">
        <v>0.61680000000000001</v>
      </c>
      <c r="C35">
        <f>MAX(B35:B37)</f>
        <v>0.89539000000000002</v>
      </c>
    </row>
    <row r="36" spans="1:3" x14ac:dyDescent="0.25">
      <c r="A36" t="s">
        <v>38</v>
      </c>
      <c r="B36">
        <v>0.87858999999999998</v>
      </c>
    </row>
    <row r="37" spans="1:3" x14ac:dyDescent="0.25">
      <c r="A37" t="s">
        <v>38</v>
      </c>
      <c r="B37">
        <v>0.89539000000000002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BCE60-A305-4996-8394-EDFED30DAA67}">
  <dimension ref="A1:C42"/>
  <sheetViews>
    <sheetView topLeftCell="A10" workbookViewId="0">
      <selection activeCell="C40" sqref="C40"/>
    </sheetView>
  </sheetViews>
  <sheetFormatPr defaultRowHeight="15" x14ac:dyDescent="0.25"/>
  <sheetData>
    <row r="1" spans="1:3" x14ac:dyDescent="0.25">
      <c r="A1" t="s">
        <v>29</v>
      </c>
      <c r="B1" t="s">
        <v>30</v>
      </c>
    </row>
    <row r="2" spans="1:3" x14ac:dyDescent="0.25">
      <c r="A2" t="s">
        <v>14</v>
      </c>
      <c r="B2">
        <v>0.78588000000000002</v>
      </c>
      <c r="C2">
        <f>MAX(B2:B4)</f>
        <v>0.78588000000000002</v>
      </c>
    </row>
    <row r="3" spans="1:3" x14ac:dyDescent="0.25">
      <c r="A3" t="s">
        <v>14</v>
      </c>
      <c r="B3">
        <v>0.77842</v>
      </c>
    </row>
    <row r="4" spans="1:3" x14ac:dyDescent="0.25">
      <c r="A4" t="s">
        <v>14</v>
      </c>
      <c r="B4">
        <v>0.77612000000000003</v>
      </c>
    </row>
    <row r="5" spans="1:3" x14ac:dyDescent="0.25">
      <c r="A5" t="s">
        <v>31</v>
      </c>
      <c r="B5">
        <v>0.69116</v>
      </c>
      <c r="C5">
        <f>MAX(B5:B7)</f>
        <v>0.74856</v>
      </c>
    </row>
    <row r="6" spans="1:3" x14ac:dyDescent="0.25">
      <c r="A6" t="s">
        <v>31</v>
      </c>
      <c r="B6">
        <v>0.74856</v>
      </c>
    </row>
    <row r="7" spans="1:3" x14ac:dyDescent="0.25">
      <c r="A7" t="s">
        <v>31</v>
      </c>
      <c r="B7">
        <v>0.74168000000000001</v>
      </c>
    </row>
    <row r="8" spans="1:3" x14ac:dyDescent="0.25">
      <c r="A8" t="s">
        <v>32</v>
      </c>
      <c r="B8">
        <v>0.76693</v>
      </c>
      <c r="C8">
        <f>MAX(B8:B10)</f>
        <v>0.80367</v>
      </c>
    </row>
    <row r="9" spans="1:3" x14ac:dyDescent="0.25">
      <c r="A9" t="s">
        <v>32</v>
      </c>
      <c r="B9">
        <v>0.80023</v>
      </c>
    </row>
    <row r="10" spans="1:3" x14ac:dyDescent="0.25">
      <c r="A10" t="s">
        <v>32</v>
      </c>
      <c r="B10">
        <v>0.80367</v>
      </c>
    </row>
    <row r="11" spans="1:3" x14ac:dyDescent="0.25">
      <c r="A11" t="s">
        <v>33</v>
      </c>
      <c r="B11">
        <v>0.72789999999999999</v>
      </c>
      <c r="C11">
        <f>MAX(B11:B14)</f>
        <v>0.73823000000000005</v>
      </c>
    </row>
    <row r="12" spans="1:3" x14ac:dyDescent="0.25">
      <c r="A12" t="s">
        <v>33</v>
      </c>
      <c r="B12">
        <v>0.73363999999999996</v>
      </c>
    </row>
    <row r="13" spans="1:3" x14ac:dyDescent="0.25">
      <c r="A13" t="s">
        <v>33</v>
      </c>
      <c r="B13">
        <v>0.73823000000000005</v>
      </c>
    </row>
    <row r="14" spans="1:3" x14ac:dyDescent="0.25">
      <c r="A14" t="s">
        <v>33</v>
      </c>
      <c r="B14">
        <v>0.73823000000000005</v>
      </c>
    </row>
    <row r="15" spans="1:3" x14ac:dyDescent="0.25">
      <c r="A15" t="s">
        <v>34</v>
      </c>
      <c r="B15">
        <v>0.69230999999999998</v>
      </c>
      <c r="C15">
        <f>MAX(B15:B18)</f>
        <v>0.72331000000000001</v>
      </c>
    </row>
    <row r="16" spans="1:3" x14ac:dyDescent="0.25">
      <c r="A16" t="s">
        <v>34</v>
      </c>
      <c r="B16">
        <v>0.72331000000000001</v>
      </c>
    </row>
    <row r="17" spans="1:3" x14ac:dyDescent="0.25">
      <c r="A17" t="s">
        <v>34</v>
      </c>
      <c r="B17">
        <v>0.70665999999999995</v>
      </c>
    </row>
    <row r="18" spans="1:3" x14ac:dyDescent="0.25">
      <c r="A18" t="s">
        <v>34</v>
      </c>
      <c r="B18">
        <v>0.72272999999999998</v>
      </c>
    </row>
    <row r="19" spans="1:3" x14ac:dyDescent="0.25">
      <c r="A19" t="s">
        <v>16</v>
      </c>
      <c r="B19">
        <v>0.67393999999999998</v>
      </c>
      <c r="C19">
        <f>MAX(B19:B21)</f>
        <v>0.73823000000000005</v>
      </c>
    </row>
    <row r="20" spans="1:3" x14ac:dyDescent="0.25">
      <c r="A20" t="s">
        <v>16</v>
      </c>
      <c r="B20">
        <v>0.71641999999999995</v>
      </c>
    </row>
    <row r="21" spans="1:3" x14ac:dyDescent="0.25">
      <c r="A21" t="s">
        <v>16</v>
      </c>
      <c r="B21">
        <v>0.73823000000000005</v>
      </c>
    </row>
    <row r="22" spans="1:3" x14ac:dyDescent="0.25">
      <c r="A22" t="s">
        <v>35</v>
      </c>
      <c r="B22">
        <v>0.71584000000000003</v>
      </c>
      <c r="C22">
        <f>MAX(B22:B25)</f>
        <v>0.74970999999999999</v>
      </c>
    </row>
    <row r="23" spans="1:3" x14ac:dyDescent="0.25">
      <c r="A23" t="s">
        <v>35</v>
      </c>
      <c r="B23">
        <v>0.74339999999999995</v>
      </c>
    </row>
    <row r="24" spans="1:3" x14ac:dyDescent="0.25">
      <c r="A24" t="s">
        <v>35</v>
      </c>
      <c r="B24">
        <v>0.74455000000000005</v>
      </c>
    </row>
    <row r="25" spans="1:3" x14ac:dyDescent="0.25">
      <c r="A25" t="s">
        <v>35</v>
      </c>
      <c r="B25">
        <v>0.74970999999999999</v>
      </c>
    </row>
    <row r="26" spans="1:3" x14ac:dyDescent="0.25">
      <c r="A26" t="s">
        <v>15</v>
      </c>
      <c r="B26">
        <v>0.59126999999999996</v>
      </c>
      <c r="C26">
        <f>MAX(B26:B28)</f>
        <v>0.70952999999999999</v>
      </c>
    </row>
    <row r="27" spans="1:3" x14ac:dyDescent="0.25">
      <c r="A27" t="s">
        <v>15</v>
      </c>
      <c r="B27">
        <v>0.70952999999999999</v>
      </c>
    </row>
    <row r="28" spans="1:3" x14ac:dyDescent="0.25">
      <c r="A28" t="s">
        <v>15</v>
      </c>
      <c r="B28">
        <v>0.70838000000000001</v>
      </c>
    </row>
    <row r="29" spans="1:3" x14ac:dyDescent="0.25">
      <c r="A29" t="s">
        <v>36</v>
      </c>
      <c r="B29">
        <v>0.44890999999999998</v>
      </c>
      <c r="C29">
        <f>MAX(B29:B31)</f>
        <v>0.71182999999999996</v>
      </c>
    </row>
    <row r="30" spans="1:3" x14ac:dyDescent="0.25">
      <c r="A30" t="s">
        <v>36</v>
      </c>
      <c r="B30">
        <v>0.70608000000000004</v>
      </c>
    </row>
    <row r="31" spans="1:3" x14ac:dyDescent="0.25">
      <c r="A31" t="s">
        <v>36</v>
      </c>
      <c r="B31">
        <v>0.71182999999999996</v>
      </c>
    </row>
    <row r="32" spans="1:3" x14ac:dyDescent="0.25">
      <c r="A32" t="s">
        <v>17</v>
      </c>
      <c r="B32">
        <v>0.78759999999999997</v>
      </c>
      <c r="C32">
        <f>MAX(B32:B35)</f>
        <v>0.82892999999999994</v>
      </c>
    </row>
    <row r="33" spans="1:3" x14ac:dyDescent="0.25">
      <c r="A33" t="s">
        <v>17</v>
      </c>
      <c r="B33">
        <v>0.78415999999999997</v>
      </c>
    </row>
    <row r="34" spans="1:3" x14ac:dyDescent="0.25">
      <c r="A34" t="s">
        <v>17</v>
      </c>
      <c r="B34">
        <v>0.82892999999999994</v>
      </c>
    </row>
    <row r="35" spans="1:3" x14ac:dyDescent="0.25">
      <c r="A35" t="s">
        <v>17</v>
      </c>
      <c r="B35">
        <v>0.78874999999999995</v>
      </c>
    </row>
    <row r="36" spans="1:3" x14ac:dyDescent="0.25">
      <c r="A36" t="s">
        <v>37</v>
      </c>
      <c r="B36">
        <v>0.56486999999999998</v>
      </c>
      <c r="C36">
        <f>MAX(B36:B38)</f>
        <v>0.60275999999999996</v>
      </c>
    </row>
    <row r="37" spans="1:3" x14ac:dyDescent="0.25">
      <c r="A37" t="s">
        <v>37</v>
      </c>
      <c r="B37">
        <v>0.53156999999999999</v>
      </c>
    </row>
    <row r="38" spans="1:3" x14ac:dyDescent="0.25">
      <c r="A38" t="s">
        <v>37</v>
      </c>
      <c r="B38">
        <v>0.60275999999999996</v>
      </c>
    </row>
    <row r="39" spans="1:3" x14ac:dyDescent="0.25">
      <c r="A39" t="s">
        <v>38</v>
      </c>
      <c r="B39">
        <v>0.81745000000000001</v>
      </c>
      <c r="C39">
        <f>MAX(B39:B42)</f>
        <v>0.82721</v>
      </c>
    </row>
    <row r="40" spans="1:3" x14ac:dyDescent="0.25">
      <c r="A40" t="s">
        <v>38</v>
      </c>
      <c r="B40">
        <v>0.79564000000000001</v>
      </c>
    </row>
    <row r="41" spans="1:3" x14ac:dyDescent="0.25">
      <c r="A41" t="s">
        <v>38</v>
      </c>
      <c r="B41">
        <v>0.82203999999999999</v>
      </c>
    </row>
    <row r="42" spans="1:3" x14ac:dyDescent="0.25">
      <c r="A42" t="s">
        <v>38</v>
      </c>
      <c r="B42">
        <v>0.82721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693EBA-F9E5-4205-8DE2-5CF3643D9239}">
  <dimension ref="A1:C34"/>
  <sheetViews>
    <sheetView workbookViewId="0">
      <selection activeCell="C33" sqref="C33"/>
    </sheetView>
  </sheetViews>
  <sheetFormatPr defaultRowHeight="15" x14ac:dyDescent="0.25"/>
  <sheetData>
    <row r="1" spans="1:3" x14ac:dyDescent="0.25">
      <c r="A1" t="s">
        <v>29</v>
      </c>
      <c r="B1" t="s">
        <v>30</v>
      </c>
    </row>
    <row r="2" spans="1:3" x14ac:dyDescent="0.25">
      <c r="A2" t="s">
        <v>14</v>
      </c>
      <c r="B2">
        <v>0.73109999999999997</v>
      </c>
      <c r="C2">
        <f>MAX(B2:B5)</f>
        <v>0.73224</v>
      </c>
    </row>
    <row r="3" spans="1:3" x14ac:dyDescent="0.25">
      <c r="A3" t="s">
        <v>14</v>
      </c>
      <c r="B3">
        <v>0.73224</v>
      </c>
    </row>
    <row r="4" spans="1:3" x14ac:dyDescent="0.25">
      <c r="A4" t="s">
        <v>14</v>
      </c>
      <c r="B4">
        <v>0.73192999999999997</v>
      </c>
    </row>
    <row r="5" spans="1:3" x14ac:dyDescent="0.25">
      <c r="A5" t="s">
        <v>14</v>
      </c>
      <c r="B5">
        <v>0.73187000000000002</v>
      </c>
    </row>
    <row r="6" spans="1:3" x14ac:dyDescent="0.25">
      <c r="A6" t="s">
        <v>31</v>
      </c>
      <c r="B6">
        <v>0.71123000000000003</v>
      </c>
      <c r="C6">
        <f>MAX(B6:B9)</f>
        <v>0.72943999999999998</v>
      </c>
    </row>
    <row r="7" spans="1:3" x14ac:dyDescent="0.25">
      <c r="A7" t="s">
        <v>31</v>
      </c>
      <c r="B7">
        <v>0.71386000000000005</v>
      </c>
    </row>
    <row r="8" spans="1:3" x14ac:dyDescent="0.25">
      <c r="A8" t="s">
        <v>31</v>
      </c>
      <c r="B8">
        <v>0.72921000000000002</v>
      </c>
    </row>
    <row r="9" spans="1:3" x14ac:dyDescent="0.25">
      <c r="A9" t="s">
        <v>31</v>
      </c>
      <c r="B9">
        <v>0.72943999999999998</v>
      </c>
    </row>
    <row r="10" spans="1:3" x14ac:dyDescent="0.25">
      <c r="A10" t="s">
        <v>32</v>
      </c>
      <c r="B10">
        <v>0.68449000000000004</v>
      </c>
      <c r="C10">
        <f>MAX(B10:B11)</f>
        <v>0.68955</v>
      </c>
    </row>
    <row r="11" spans="1:3" x14ac:dyDescent="0.25">
      <c r="A11" t="s">
        <v>32</v>
      </c>
      <c r="B11">
        <v>0.68955</v>
      </c>
    </row>
    <row r="12" spans="1:3" x14ac:dyDescent="0.25">
      <c r="A12" t="s">
        <v>33</v>
      </c>
      <c r="B12">
        <v>0.62085000000000001</v>
      </c>
      <c r="C12">
        <f>MAX(B12:B13)</f>
        <v>0.62131000000000003</v>
      </c>
    </row>
    <row r="13" spans="1:3" x14ac:dyDescent="0.25">
      <c r="A13" t="s">
        <v>33</v>
      </c>
      <c r="B13">
        <v>0.62131000000000003</v>
      </c>
    </row>
    <row r="14" spans="1:3" x14ac:dyDescent="0.25">
      <c r="A14" t="s">
        <v>34</v>
      </c>
      <c r="B14">
        <v>0.58389000000000002</v>
      </c>
      <c r="C14">
        <f>MAX(B14:B15)</f>
        <v>0.60921999999999998</v>
      </c>
    </row>
    <row r="15" spans="1:3" x14ac:dyDescent="0.25">
      <c r="A15" t="s">
        <v>34</v>
      </c>
      <c r="B15">
        <v>0.60921999999999998</v>
      </c>
    </row>
    <row r="16" spans="1:3" x14ac:dyDescent="0.25">
      <c r="A16" t="s">
        <v>16</v>
      </c>
      <c r="B16">
        <v>0.56013999999999997</v>
      </c>
      <c r="C16">
        <f>MAX(B16:B19)</f>
        <v>0.57003999999999999</v>
      </c>
    </row>
    <row r="17" spans="1:3" x14ac:dyDescent="0.25">
      <c r="A17" t="s">
        <v>16</v>
      </c>
      <c r="B17">
        <v>0.56925000000000003</v>
      </c>
    </row>
    <row r="18" spans="1:3" x14ac:dyDescent="0.25">
      <c r="A18" t="s">
        <v>16</v>
      </c>
      <c r="B18">
        <v>0.56938</v>
      </c>
    </row>
    <row r="19" spans="1:3" x14ac:dyDescent="0.25">
      <c r="A19" t="s">
        <v>16</v>
      </c>
      <c r="B19">
        <v>0.57003999999999999</v>
      </c>
    </row>
    <row r="20" spans="1:3" x14ac:dyDescent="0.25">
      <c r="A20" t="s">
        <v>35</v>
      </c>
      <c r="B20">
        <v>0.63636999999999999</v>
      </c>
      <c r="C20">
        <f>MAX(B20)</f>
        <v>0.63636999999999999</v>
      </c>
    </row>
    <row r="21" spans="1:3" x14ac:dyDescent="0.25">
      <c r="A21" t="s">
        <v>15</v>
      </c>
      <c r="B21">
        <v>0.74827999999999995</v>
      </c>
      <c r="C21">
        <f>MAX(B21:B23)</f>
        <v>0.76080999999999999</v>
      </c>
    </row>
    <row r="22" spans="1:3" x14ac:dyDescent="0.25">
      <c r="A22" t="s">
        <v>15</v>
      </c>
      <c r="B22">
        <v>0.75512999999999997</v>
      </c>
    </row>
    <row r="23" spans="1:3" x14ac:dyDescent="0.25">
      <c r="A23" t="s">
        <v>15</v>
      </c>
      <c r="B23">
        <v>0.76080999999999999</v>
      </c>
    </row>
    <row r="24" spans="1:3" x14ac:dyDescent="0.25">
      <c r="A24" t="s">
        <v>36</v>
      </c>
      <c r="B24">
        <v>0.55620999999999998</v>
      </c>
      <c r="C24">
        <f>MAX(B24:B25)</f>
        <v>0.55620999999999998</v>
      </c>
    </row>
    <row r="25" spans="1:3" x14ac:dyDescent="0.25">
      <c r="A25" t="s">
        <v>36</v>
      </c>
      <c r="B25">
        <v>0.53607000000000005</v>
      </c>
    </row>
    <row r="26" spans="1:3" x14ac:dyDescent="0.25">
      <c r="A26" t="s">
        <v>17</v>
      </c>
      <c r="B26">
        <v>0.72306000000000004</v>
      </c>
      <c r="C26">
        <f>MAX(B26:B28)</f>
        <v>0.72887999999999997</v>
      </c>
    </row>
    <row r="27" spans="1:3" x14ac:dyDescent="0.25">
      <c r="A27" t="s">
        <v>17</v>
      </c>
      <c r="B27">
        <v>0.72567999999999999</v>
      </c>
    </row>
    <row r="28" spans="1:3" x14ac:dyDescent="0.25">
      <c r="A28" t="s">
        <v>17</v>
      </c>
      <c r="B28">
        <v>0.72887999999999997</v>
      </c>
    </row>
    <row r="29" spans="1:3" x14ac:dyDescent="0.25">
      <c r="A29" t="s">
        <v>37</v>
      </c>
      <c r="B29">
        <v>0.61728000000000005</v>
      </c>
      <c r="C29">
        <f>MAX(B29:B31)</f>
        <v>0.61728000000000005</v>
      </c>
    </row>
    <row r="30" spans="1:3" x14ac:dyDescent="0.25">
      <c r="A30" t="s">
        <v>37</v>
      </c>
      <c r="B30">
        <v>0.61375000000000002</v>
      </c>
    </row>
    <row r="31" spans="1:3" x14ac:dyDescent="0.25">
      <c r="A31" t="s">
        <v>37</v>
      </c>
      <c r="B31">
        <v>0.61621999999999999</v>
      </c>
    </row>
    <row r="32" spans="1:3" x14ac:dyDescent="0.25">
      <c r="A32" t="s">
        <v>38</v>
      </c>
      <c r="B32">
        <v>0.68786000000000003</v>
      </c>
      <c r="C32">
        <f>MAX(B32:B34)</f>
        <v>0.70121</v>
      </c>
    </row>
    <row r="33" spans="1:2" x14ac:dyDescent="0.25">
      <c r="A33" t="s">
        <v>38</v>
      </c>
      <c r="B33">
        <v>0.69167999999999996</v>
      </c>
    </row>
    <row r="34" spans="1:2" x14ac:dyDescent="0.25">
      <c r="A34" t="s">
        <v>38</v>
      </c>
      <c r="B34">
        <v>0.70121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377EC-BA22-47EB-98DB-A8ABB998676D}">
  <dimension ref="A1:C44"/>
  <sheetViews>
    <sheetView topLeftCell="A16" workbookViewId="0">
      <selection activeCell="C42" sqref="C42"/>
    </sheetView>
  </sheetViews>
  <sheetFormatPr defaultRowHeight="15" x14ac:dyDescent="0.25"/>
  <sheetData>
    <row r="1" spans="1:3" x14ac:dyDescent="0.25">
      <c r="A1" t="s">
        <v>29</v>
      </c>
      <c r="B1" t="s">
        <v>30</v>
      </c>
    </row>
    <row r="2" spans="1:3" x14ac:dyDescent="0.25">
      <c r="A2" t="s">
        <v>14</v>
      </c>
      <c r="B2">
        <v>0.98255999999999999</v>
      </c>
      <c r="C2">
        <f>MAX(B2:B4)</f>
        <v>0.99212</v>
      </c>
    </row>
    <row r="3" spans="1:3" x14ac:dyDescent="0.25">
      <c r="A3" t="s">
        <v>14</v>
      </c>
      <c r="B3">
        <v>0.99212</v>
      </c>
    </row>
    <row r="4" spans="1:3" x14ac:dyDescent="0.25">
      <c r="A4" t="s">
        <v>14</v>
      </c>
      <c r="B4">
        <v>0.99175999999999997</v>
      </c>
    </row>
    <row r="5" spans="1:3" x14ac:dyDescent="0.25">
      <c r="A5" t="s">
        <v>31</v>
      </c>
      <c r="B5">
        <v>0.92906</v>
      </c>
      <c r="C5">
        <f>MAX(B5:B8)</f>
        <v>0.99160000000000004</v>
      </c>
    </row>
    <row r="6" spans="1:3" x14ac:dyDescent="0.25">
      <c r="A6" t="s">
        <v>31</v>
      </c>
      <c r="B6">
        <v>0.99160000000000004</v>
      </c>
    </row>
    <row r="7" spans="1:3" x14ac:dyDescent="0.25">
      <c r="A7" t="s">
        <v>31</v>
      </c>
      <c r="B7">
        <v>0.99158000000000002</v>
      </c>
    </row>
    <row r="8" spans="1:3" x14ac:dyDescent="0.25">
      <c r="A8" t="s">
        <v>31</v>
      </c>
      <c r="B8">
        <v>0.99150000000000005</v>
      </c>
    </row>
    <row r="9" spans="1:3" x14ac:dyDescent="0.25">
      <c r="A9" t="s">
        <v>32</v>
      </c>
      <c r="B9">
        <v>0.56969999999999998</v>
      </c>
      <c r="C9">
        <f>MAX(B9:B12)</f>
        <v>0.96580999999999995</v>
      </c>
    </row>
    <row r="10" spans="1:3" x14ac:dyDescent="0.25">
      <c r="A10" t="s">
        <v>32</v>
      </c>
      <c r="B10">
        <v>0.59387999999999996</v>
      </c>
    </row>
    <row r="11" spans="1:3" x14ac:dyDescent="0.25">
      <c r="A11" t="s">
        <v>32</v>
      </c>
      <c r="B11">
        <v>0.96469000000000005</v>
      </c>
    </row>
    <row r="12" spans="1:3" x14ac:dyDescent="0.25">
      <c r="A12" t="s">
        <v>32</v>
      </c>
      <c r="B12">
        <v>0.96580999999999995</v>
      </c>
    </row>
    <row r="13" spans="1:3" x14ac:dyDescent="0.25">
      <c r="A13" t="s">
        <v>33</v>
      </c>
      <c r="B13">
        <v>0.53820999999999997</v>
      </c>
      <c r="C13">
        <f>MAX(B13:B15)</f>
        <v>0.96679999999999999</v>
      </c>
    </row>
    <row r="14" spans="1:3" x14ac:dyDescent="0.25">
      <c r="A14" t="s">
        <v>33</v>
      </c>
      <c r="B14">
        <v>0.96197999999999995</v>
      </c>
    </row>
    <row r="15" spans="1:3" x14ac:dyDescent="0.25">
      <c r="A15" t="s">
        <v>33</v>
      </c>
      <c r="B15">
        <v>0.96679999999999999</v>
      </c>
    </row>
    <row r="16" spans="1:3" x14ac:dyDescent="0.25">
      <c r="A16" t="s">
        <v>34</v>
      </c>
      <c r="B16">
        <v>0.54798999999999998</v>
      </c>
      <c r="C16">
        <f>MAX(B16:B19)</f>
        <v>0.96231</v>
      </c>
    </row>
    <row r="17" spans="1:3" x14ac:dyDescent="0.25">
      <c r="A17" t="s">
        <v>34</v>
      </c>
      <c r="B17">
        <v>0.55501</v>
      </c>
    </row>
    <row r="18" spans="1:3" x14ac:dyDescent="0.25">
      <c r="A18" t="s">
        <v>34</v>
      </c>
      <c r="B18">
        <v>0.96167000000000002</v>
      </c>
    </row>
    <row r="19" spans="1:3" x14ac:dyDescent="0.25">
      <c r="A19" t="s">
        <v>34</v>
      </c>
      <c r="B19">
        <v>0.96231</v>
      </c>
    </row>
    <row r="20" spans="1:3" x14ac:dyDescent="0.25">
      <c r="A20" t="s">
        <v>16</v>
      </c>
      <c r="B20">
        <v>0.58098000000000005</v>
      </c>
      <c r="C20">
        <f>MAX(B20:B23)</f>
        <v>0.75034000000000001</v>
      </c>
    </row>
    <row r="21" spans="1:3" x14ac:dyDescent="0.25">
      <c r="A21" t="s">
        <v>16</v>
      </c>
      <c r="B21">
        <v>0.58501000000000003</v>
      </c>
    </row>
    <row r="22" spans="1:3" x14ac:dyDescent="0.25">
      <c r="A22" t="s">
        <v>16</v>
      </c>
      <c r="B22">
        <v>0.48826999999999998</v>
      </c>
    </row>
    <row r="23" spans="1:3" x14ac:dyDescent="0.25">
      <c r="A23" t="s">
        <v>16</v>
      </c>
      <c r="B23">
        <v>0.75034000000000001</v>
      </c>
    </row>
    <row r="24" spans="1:3" x14ac:dyDescent="0.25">
      <c r="A24" t="s">
        <v>35</v>
      </c>
      <c r="B24">
        <v>0.95779000000000003</v>
      </c>
      <c r="C24">
        <f>MAX(B24:B26)</f>
        <v>0.96431999999999995</v>
      </c>
    </row>
    <row r="25" spans="1:3" x14ac:dyDescent="0.25">
      <c r="A25" t="s">
        <v>35</v>
      </c>
      <c r="B25">
        <v>0.96277999999999997</v>
      </c>
    </row>
    <row r="26" spans="1:3" x14ac:dyDescent="0.25">
      <c r="A26" t="s">
        <v>35</v>
      </c>
      <c r="B26">
        <v>0.96431999999999995</v>
      </c>
    </row>
    <row r="27" spans="1:3" x14ac:dyDescent="0.25">
      <c r="A27" t="s">
        <v>15</v>
      </c>
      <c r="B27">
        <v>0.95098000000000005</v>
      </c>
      <c r="C27">
        <f>MAX(B27:B29)</f>
        <v>0.97979000000000005</v>
      </c>
    </row>
    <row r="28" spans="1:3" x14ac:dyDescent="0.25">
      <c r="A28" t="s">
        <v>15</v>
      </c>
      <c r="B28">
        <v>0.95459000000000005</v>
      </c>
    </row>
    <row r="29" spans="1:3" x14ac:dyDescent="0.25">
      <c r="A29" t="s">
        <v>15</v>
      </c>
      <c r="B29">
        <v>0.97979000000000005</v>
      </c>
    </row>
    <row r="30" spans="1:3" x14ac:dyDescent="0.25">
      <c r="A30" t="s">
        <v>36</v>
      </c>
      <c r="B30">
        <v>0.51185999999999998</v>
      </c>
      <c r="C30">
        <f>MAX(B30:B33)</f>
        <v>0.82213999999999998</v>
      </c>
    </row>
    <row r="31" spans="1:3" x14ac:dyDescent="0.25">
      <c r="A31" t="s">
        <v>36</v>
      </c>
      <c r="B31">
        <v>0.64922000000000002</v>
      </c>
    </row>
    <row r="32" spans="1:3" x14ac:dyDescent="0.25">
      <c r="A32" t="s">
        <v>36</v>
      </c>
      <c r="B32">
        <v>0.67037999999999998</v>
      </c>
    </row>
    <row r="33" spans="1:3" x14ac:dyDescent="0.25">
      <c r="A33" t="s">
        <v>36</v>
      </c>
      <c r="B33">
        <v>0.82213999999999998</v>
      </c>
    </row>
    <row r="34" spans="1:3" x14ac:dyDescent="0.25">
      <c r="A34" t="s">
        <v>17</v>
      </c>
      <c r="B34">
        <v>0.74521000000000004</v>
      </c>
      <c r="C34">
        <f>MAX(B34:B36)</f>
        <v>0.97790999999999995</v>
      </c>
    </row>
    <row r="35" spans="1:3" x14ac:dyDescent="0.25">
      <c r="A35" t="s">
        <v>17</v>
      </c>
      <c r="B35">
        <v>0.96238999999999997</v>
      </c>
    </row>
    <row r="36" spans="1:3" x14ac:dyDescent="0.25">
      <c r="A36" t="s">
        <v>17</v>
      </c>
      <c r="B36">
        <v>0.97790999999999995</v>
      </c>
    </row>
    <row r="37" spans="1:3" x14ac:dyDescent="0.25">
      <c r="A37" t="s">
        <v>37</v>
      </c>
      <c r="B37">
        <v>0.51105</v>
      </c>
      <c r="C37">
        <f>MAX(B37:B40)</f>
        <v>0.95711999999999997</v>
      </c>
    </row>
    <row r="38" spans="1:3" x14ac:dyDescent="0.25">
      <c r="A38" t="s">
        <v>37</v>
      </c>
      <c r="B38">
        <v>0.57008999999999999</v>
      </c>
    </row>
    <row r="39" spans="1:3" x14ac:dyDescent="0.25">
      <c r="A39" t="s">
        <v>37</v>
      </c>
      <c r="B39">
        <v>0.95633000000000001</v>
      </c>
    </row>
    <row r="40" spans="1:3" x14ac:dyDescent="0.25">
      <c r="A40" t="s">
        <v>37</v>
      </c>
      <c r="B40">
        <v>0.95711999999999997</v>
      </c>
    </row>
    <row r="41" spans="1:3" x14ac:dyDescent="0.25">
      <c r="A41" t="s">
        <v>38</v>
      </c>
      <c r="B41">
        <v>0.95520000000000005</v>
      </c>
      <c r="C41">
        <f>MAX(B41:B44)</f>
        <v>0.96694999999999998</v>
      </c>
    </row>
    <row r="42" spans="1:3" x14ac:dyDescent="0.25">
      <c r="A42" t="s">
        <v>38</v>
      </c>
      <c r="B42">
        <v>0.94615000000000005</v>
      </c>
    </row>
    <row r="43" spans="1:3" x14ac:dyDescent="0.25">
      <c r="A43" t="s">
        <v>38</v>
      </c>
      <c r="B43">
        <v>0.94364999999999999</v>
      </c>
    </row>
    <row r="44" spans="1:3" x14ac:dyDescent="0.25">
      <c r="A44" t="s">
        <v>38</v>
      </c>
      <c r="B44">
        <v>0.96694999999999998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Results</vt:lpstr>
      <vt:lpstr>Arrhythmia</vt:lpstr>
      <vt:lpstr>Parkinson</vt:lpstr>
      <vt:lpstr>Shuttle</vt:lpstr>
      <vt:lpstr>WBC</vt:lpstr>
      <vt:lpstr>SpamBase</vt:lpstr>
      <vt:lpstr>WPBC</vt:lpstr>
      <vt:lpstr>HeartDisease</vt:lpstr>
      <vt:lpstr>Glass</vt:lpstr>
      <vt:lpstr>Hep</vt:lpstr>
      <vt:lpstr>Pima</vt:lpstr>
      <vt:lpstr>PenDigits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Karson Hodge</dc:creator>
  <cp:lastModifiedBy>Karson Hodge</cp:lastModifiedBy>
  <dcterms:created xsi:type="dcterms:W3CDTF">2015-06-05T18:17:20Z</dcterms:created>
  <dcterms:modified xsi:type="dcterms:W3CDTF">2025-03-05T21:39:33Z</dcterms:modified>
</cp:coreProperties>
</file>