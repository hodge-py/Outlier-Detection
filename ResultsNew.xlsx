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6324BFBE-04E5-4573-8131-89DDF8E27574}" xr6:coauthVersionLast="47" xr6:coauthVersionMax="47" xr10:uidLastSave="{00000000-0000-0000-0000-000000000000}"/>
  <bookViews>
    <workbookView xWindow="-19320" yWindow="-120" windowWidth="19440" windowHeight="14880" activeTab="1" xr2:uid="{00000000-000D-0000-FFFF-FFFF00000000}"/>
  </bookViews>
  <sheets>
    <sheet name="Results" sheetId="1" r:id="rId1"/>
    <sheet name="Latex" sheetId="14" r:id="rId2"/>
    <sheet name="Arrhythmia" sheetId="2" r:id="rId3"/>
    <sheet name="Parkinson" sheetId="3" r:id="rId4"/>
    <sheet name="Shuttle" sheetId="4" r:id="rId5"/>
    <sheet name="WBC" sheetId="5" r:id="rId6"/>
    <sheet name="SpamBase" sheetId="6" r:id="rId7"/>
    <sheet name="WPBC" sheetId="7" r:id="rId8"/>
    <sheet name="HeartDisease" sheetId="8" r:id="rId9"/>
    <sheet name="Glass" sheetId="9" r:id="rId10"/>
    <sheet name="Hep" sheetId="10" r:id="rId11"/>
    <sheet name="Pima" sheetId="11" r:id="rId12"/>
    <sheet name="PenDigit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14" l="1"/>
  <c r="T14" i="14"/>
  <c r="P14" i="14"/>
  <c r="B45" i="14"/>
  <c r="B31" i="1"/>
  <c r="B31" i="14"/>
  <c r="B19" i="14"/>
  <c r="B20" i="14"/>
  <c r="B21" i="14"/>
  <c r="B22" i="14"/>
  <c r="B23" i="14"/>
  <c r="B24" i="14"/>
  <c r="B25" i="14"/>
  <c r="B26" i="14"/>
  <c r="B27" i="14"/>
  <c r="B28" i="14"/>
  <c r="B18" i="14"/>
  <c r="M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<sst xmlns="http://schemas.openxmlformats.org/spreadsheetml/2006/main" count="533" uniqueCount="41">
  <si>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</si>
  <si>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</si>
  <si>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</si>
  <si>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</si>
  <si>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</si>
  <si>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</si>
  <si>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</si>
  <si>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</si>
  <si>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</si>
  <si>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</si>
  <si>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</si>
  <si>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</si>
  <si>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</si>
  <si>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</si>
  <si>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</si>
  <si>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</si>
  <si>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</si>
  <si>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</si>
  <si>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</si>
  <si>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</si>
  <si>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</si>
  <si>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</si>
  <si>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</si>
  <si>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</si>
  <si>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</si>
  <si>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</si>
  <si>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</si>
  <si>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</si>
  <si>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</si>
  <si>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</si>
  <si>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</si>
  <si>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</si>
  <si>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</si>
  <si>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</si>
  <si>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</si>
  <si>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</si>
  <si>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</si>
  <si>
    <t>Hepatitis</t>
  </si>
  <si>
    <t>Log Gamma</t>
  </si>
  <si>
    <t>LogNorm</t>
  </si>
  <si>
    <t>BoxPlot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</si>
</sst>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2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center"/>
    </xf>
    <xf numFmtId="0" fontId="0" fillId="0" borderId="0" xfId="0" applyFill="1" applyBorder="1"/>
  </cellXfs>
  <cellStyles count="3">
    <cellStyle name="Comma" xfId="1" builtinId="3"/>
    <cellStyle name="Normal" xfId="0" builtinId="0"/>
    <cellStyle name="Per cent" xfId="2" builtinId="5"/>
  </cellStyles>
  <dxfs count="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selection activeCell="H25" sqref="H25"/>
    </sheetView>
  </sheetViews>
  <sheetFormatPr defaultRowHeight="15" x14ac:dyDescent="0.25"/>
  <cols>
    <col min="1" max="1" width="16.140625" customWidth="1"/>
    <col min="2" max="2" width="13.85546875" customWidth="1"/>
    <col min="3" max="3" width="15.5703125" customWidth="1"/>
    <col min="4" max="4" width="25" customWidth="1"/>
    <col min="5" max="5" width="10.5703125" customWidth="1"/>
    <col min="6" max="6" width="14.5703125" customWidth="1"/>
    <col min="8" max="8" width="13.140625" customWidth="1"/>
    <col min="12" max="12" width="10.85546875" customWidth="1"/>
  </cols>
  <sheetData>
    <row r="1" spans="1:16" ht="17.25" x14ac:dyDescent="0.2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22</v>
      </c>
      <c r="G1" t="s">
        <v>23</v>
      </c>
      <c r="H1" t="s">
        <v>24</v>
      </c>
      <c r="I1" t="s">
        <v>25</v>
      </c>
      <c r="J1" t="s">
        <v>15</v>
      </c>
      <c r="K1" t="s">
        <v>26</v>
      </c>
      <c r="L1" t="s">
        <v>14</v>
      </c>
      <c r="M1" t="s">
        <v>27</v>
      </c>
      <c r="N1" t="s">
        <v>16</v>
      </c>
      <c r="O1" t="s">
        <v>28</v>
      </c>
      <c r="P1" t="s">
        <v>29</v>
      </c>
    </row>
    <row r="2" spans="1:16" x14ac:dyDescent="0.2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2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2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2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2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2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2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2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2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2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2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25">
      <c r="A13" t="s">
        <v>30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25">
      <c r="A14" t="s">
        <v>31</v>
      </c>
    </row>
    <row r="17" spans="1:2" x14ac:dyDescent="0.25">
      <c r="A17" t="s">
        <v>18</v>
      </c>
    </row>
    <row r="19" spans="1:2" x14ac:dyDescent="0.25">
      <c r="A19" t="s">
        <v>11</v>
      </c>
      <c r="B19" t="s">
        <v>36</v>
      </c>
    </row>
    <row r="20" spans="1:2" x14ac:dyDescent="0.25">
      <c r="A20" t="s">
        <v>35</v>
      </c>
      <c r="B20" s="5">
        <v>2.0370831182289302</v>
      </c>
    </row>
    <row r="21" spans="1:2" x14ac:dyDescent="0.25">
      <c r="A21" t="s">
        <v>1</v>
      </c>
      <c r="B21" s="5">
        <v>3.1547216312678601</v>
      </c>
    </row>
    <row r="22" spans="1:2" x14ac:dyDescent="0.25">
      <c r="A22" t="s">
        <v>2</v>
      </c>
      <c r="B22" s="5">
        <v>9.8845764865245496</v>
      </c>
    </row>
    <row r="23" spans="1:2" x14ac:dyDescent="0.25">
      <c r="A23" t="s">
        <v>3</v>
      </c>
      <c r="B23" s="5">
        <v>3.5183738979013799</v>
      </c>
    </row>
    <row r="24" spans="1:2" x14ac:dyDescent="0.25">
      <c r="A24" t="s">
        <v>4</v>
      </c>
      <c r="B24" s="5">
        <v>3.2411972220237102</v>
      </c>
    </row>
    <row r="25" spans="1:2" x14ac:dyDescent="0.25">
      <c r="A25" t="s">
        <v>5</v>
      </c>
      <c r="B25" s="5">
        <v>1.8064453738353601</v>
      </c>
    </row>
    <row r="26" spans="1:2" x14ac:dyDescent="0.25">
      <c r="A26" t="s">
        <v>6</v>
      </c>
      <c r="B26" s="5">
        <v>0.81389733258028796</v>
      </c>
    </row>
    <row r="27" spans="1:2" x14ac:dyDescent="0.25">
      <c r="A27" t="s">
        <v>7</v>
      </c>
      <c r="B27" s="5">
        <v>2.7273997511512502</v>
      </c>
    </row>
    <row r="28" spans="1:2" x14ac:dyDescent="0.25">
      <c r="A28" t="s">
        <v>8</v>
      </c>
      <c r="B28" s="5">
        <v>0.39759268151465099</v>
      </c>
    </row>
    <row r="29" spans="1:2" x14ac:dyDescent="0.25">
      <c r="A29" t="s">
        <v>9</v>
      </c>
      <c r="B29" s="5">
        <v>1.26708352406697</v>
      </c>
    </row>
    <row r="30" spans="1:2" x14ac:dyDescent="0.25">
      <c r="A30" t="s">
        <v>10</v>
      </c>
      <c r="B30" s="5">
        <v>1.95101294625013</v>
      </c>
    </row>
    <row r="31" spans="1:2" x14ac:dyDescent="0.25">
      <c r="A31" t="s">
        <v>30</v>
      </c>
      <c r="B31" s="5">
        <f>AVERAGE(B20:B30)</f>
        <v>2.799943996849553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T45"/>
  <sheetViews>
    <sheetView tabSelected="1" workbookViewId="0">
      <selection activeCell="R15" sqref="R15"/>
    </sheetView>
  </sheetViews>
  <sheetFormatPr defaultRowHeight="15" x14ac:dyDescent="0.25"/>
  <cols>
    <col min="1" max="1" width="11.5703125" customWidth="1"/>
    <col min="2" max="2" width="18" customWidth="1"/>
    <col min="3" max="13" width="9.140625" customWidth="1"/>
    <col min="14" max="14" width="16.5703125" customWidth="1"/>
    <col min="15" max="15" width="18.28515625" customWidth="1"/>
    <col min="16" max="16" width="15.85546875" customWidth="1"/>
    <col min="17" max="17" width="24.140625" customWidth="1"/>
  </cols>
  <sheetData>
    <row r="1" spans="1:20" x14ac:dyDescent="0.25">
      <c r="A1" s="4"/>
      <c r="B1" s="7" t="s">
        <v>33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 t="s">
        <v>34</v>
      </c>
      <c r="O1" s="7"/>
    </row>
    <row r="2" spans="1:20" ht="17.25" x14ac:dyDescent="0.25">
      <c r="A2" s="4" t="s">
        <v>11</v>
      </c>
      <c r="B2" s="4" t="s">
        <v>13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15</v>
      </c>
      <c r="H2" s="4" t="s">
        <v>26</v>
      </c>
      <c r="I2" s="4" t="s">
        <v>14</v>
      </c>
      <c r="J2" s="4" t="s">
        <v>27</v>
      </c>
      <c r="K2" s="4" t="s">
        <v>16</v>
      </c>
      <c r="L2" s="4" t="s">
        <v>28</v>
      </c>
      <c r="M2" s="4" t="s">
        <v>29</v>
      </c>
      <c r="N2" s="4" t="s">
        <v>12</v>
      </c>
      <c r="O2" s="4" t="s">
        <v>32</v>
      </c>
      <c r="P2" s="4" t="s">
        <v>38</v>
      </c>
      <c r="Q2" s="4"/>
      <c r="R2" s="4" t="s">
        <v>39</v>
      </c>
      <c r="S2" s="4"/>
      <c r="T2" s="8" t="s">
        <v>40</v>
      </c>
    </row>
    <row r="3" spans="1:20" x14ac:dyDescent="0.25">
      <c r="A3" t="s">
        <v>35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  <c r="P3" s="3">
        <v>0.76087259271048802</v>
      </c>
      <c r="Q3" s="3"/>
      <c r="R3" s="3">
        <v>0.75987784497851296</v>
      </c>
      <c r="T3" s="3">
        <v>0.75567006207225795</v>
      </c>
    </row>
    <row r="4" spans="1:20" x14ac:dyDescent="0.2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  <c r="P4" s="3">
        <v>0.74000850340136004</v>
      </c>
      <c r="Q4" s="3"/>
      <c r="R4" s="3">
        <v>0.73915816326530603</v>
      </c>
      <c r="T4" s="3">
        <v>0.63116496598639404</v>
      </c>
    </row>
    <row r="5" spans="1:20" x14ac:dyDescent="0.2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  <c r="P5" s="3">
        <v>0.84565384615384598</v>
      </c>
      <c r="Q5" s="3"/>
      <c r="R5" s="3">
        <v>0.84565384615384598</v>
      </c>
      <c r="T5" s="3">
        <v>0.81988461538461499</v>
      </c>
    </row>
    <row r="6" spans="1:20" x14ac:dyDescent="0.2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  <c r="P6" s="3">
        <v>0.99366197183098603</v>
      </c>
      <c r="Q6" s="3"/>
      <c r="R6" s="3">
        <v>0.99624413145539903</v>
      </c>
      <c r="T6" s="3">
        <v>0.92957746478873204</v>
      </c>
    </row>
    <row r="7" spans="1:20" x14ac:dyDescent="0.2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  <c r="P7" s="3">
        <v>0.65056312716279296</v>
      </c>
      <c r="Q7" s="3"/>
      <c r="R7" s="3">
        <v>0.65016626175164505</v>
      </c>
      <c r="T7" s="3">
        <v>0.58773988623427098</v>
      </c>
    </row>
    <row r="8" spans="1:20" x14ac:dyDescent="0.2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  <c r="P8" s="3">
        <v>0.53219670283218201</v>
      </c>
      <c r="Q8" s="3"/>
      <c r="R8" s="3">
        <v>0.53170353670564996</v>
      </c>
      <c r="T8" s="3">
        <v>0.52973087219951998</v>
      </c>
    </row>
    <row r="9" spans="1:20" x14ac:dyDescent="0.2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  <c r="P9" s="3">
        <v>0.69902777777777703</v>
      </c>
      <c r="Q9" s="3"/>
      <c r="R9" s="3">
        <v>0.70052777777777697</v>
      </c>
      <c r="T9" s="3">
        <v>0.65786111111111101</v>
      </c>
    </row>
    <row r="10" spans="1:20" x14ac:dyDescent="0.2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  <c r="P10" s="3">
        <v>0.87777777777777699</v>
      </c>
      <c r="Q10" s="3"/>
      <c r="R10" s="3">
        <v>0.87615176151761498</v>
      </c>
      <c r="T10" s="3">
        <v>0.862059620596206</v>
      </c>
    </row>
    <row r="11" spans="1:20" x14ac:dyDescent="0.25">
      <c r="A11" t="s">
        <v>37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  <c r="P11" s="3">
        <v>0.78587830080367405</v>
      </c>
      <c r="Q11" s="3"/>
      <c r="R11" s="3">
        <v>0.78817451205510902</v>
      </c>
      <c r="T11" s="3">
        <v>0.78415614236509701</v>
      </c>
    </row>
    <row r="12" spans="1:20" x14ac:dyDescent="0.2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  <c r="P12" s="3">
        <v>0.73567164179104405</v>
      </c>
      <c r="Q12" s="3"/>
      <c r="R12" s="3">
        <v>0.73719029850746198</v>
      </c>
      <c r="T12" s="3">
        <v>0.73098880597014904</v>
      </c>
    </row>
    <row r="13" spans="1:20" x14ac:dyDescent="0.2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  <c r="P13" s="3">
        <v>0.98741368805848895</v>
      </c>
      <c r="Q13" s="3"/>
      <c r="R13" s="3">
        <v>0.98738830219333795</v>
      </c>
      <c r="T13" s="3">
        <v>0.96613779447603498</v>
      </c>
    </row>
    <row r="14" spans="1:20" x14ac:dyDescent="0.25">
      <c r="A14" t="s">
        <v>30</v>
      </c>
      <c r="B14" s="2">
        <f>AVERAGE(B3:B13)</f>
        <v>0.76385363636363646</v>
      </c>
      <c r="C14" s="2">
        <f t="shared" ref="C14:M14" si="0">AVERAGE(C3:C13)</f>
        <v>0.74898363636363641</v>
      </c>
      <c r="D14" s="2">
        <f t="shared" si="0"/>
        <v>0.73779636363636358</v>
      </c>
      <c r="E14" s="2">
        <f t="shared" si="0"/>
        <v>0.71585272727272731</v>
      </c>
      <c r="F14" s="2">
        <f t="shared" si="0"/>
        <v>0.7080581818181817</v>
      </c>
      <c r="G14" s="2">
        <f t="shared" si="0"/>
        <v>0.68091363636363633</v>
      </c>
      <c r="H14" s="2">
        <f t="shared" si="0"/>
        <v>0.70191727272727278</v>
      </c>
      <c r="I14" s="2">
        <f t="shared" si="0"/>
        <v>0.70524545454545462</v>
      </c>
      <c r="J14" s="2">
        <f t="shared" si="0"/>
        <v>0.63380727272727266</v>
      </c>
      <c r="K14" s="2">
        <f t="shared" si="0"/>
        <v>0.75610909090909084</v>
      </c>
      <c r="L14" s="2">
        <f t="shared" si="0"/>
        <v>0.69330909090909087</v>
      </c>
      <c r="M14" s="2">
        <f t="shared" si="0"/>
        <v>0.74376999999999993</v>
      </c>
      <c r="N14" s="2">
        <f>AVERAGE(N3:N13)</f>
        <v>0.7803154126486137</v>
      </c>
      <c r="O14" s="2">
        <f>AVERAGE(O3:O13)</f>
        <v>0.93570909090909093</v>
      </c>
      <c r="P14" s="3">
        <f>AVERAGE(P3:P13)</f>
        <v>0.78261144820912876</v>
      </c>
      <c r="Q14" s="3"/>
      <c r="R14" s="3">
        <f>AVERAGE(R3:R13)</f>
        <v>0.78293058512378733</v>
      </c>
      <c r="T14" s="3">
        <f>AVERAGE(T3:T13)</f>
        <v>0.75045194010767158</v>
      </c>
    </row>
    <row r="18" spans="2:14" x14ac:dyDescent="0.25">
      <c r="B18" t="str">
        <f>_xlfn.CONCAT("[",_xlfn.TEXTJOIN(",",TRUE,B3:N3),"]")</f>
        <v>[0.752,0.75008,0.74421,0.74339,0.74111,0.73452,0.72669,0.74176,0.66101,0.72286,0.73154,0.73385,0.761081489734203]</v>
      </c>
      <c r="M18" t="str">
        <f>_xlfn.TEXTJOIN("','",TRUE,A3:A13)</f>
        <v>Arrhythmia','Parkinson','Shuttle','WBC','SpamBase','WPBC','HeartDisease','Glass','Hepatitis','Pima','PenDigits</v>
      </c>
    </row>
    <row r="19" spans="2:14" x14ac:dyDescent="0.25">
      <c r="B19" t="str">
        <f t="shared" ref="B19:B28" si="1">_xlfn.CONCAT("[",_xlfn.TEXTJOIN(",",TRUE,B4:N4),"]")</f>
        <v>[0.65235,0.64399,0.61196,0.60728,0.58312,0.55315,0.52608,0.66993,0.58673,0.60218,0.59198,0.64966,0.738166099773242]</v>
      </c>
    </row>
    <row r="20" spans="2:14" x14ac:dyDescent="0.25">
      <c r="B20" t="str">
        <f t="shared" si="1"/>
        <v>[0.81762,0.72785,0.78208,0.76608,0.78992,0.84754,0.789,0.316,0.69192,0.71585,0.79885,0.63969,0.820153846153846]</v>
      </c>
    </row>
    <row r="21" spans="2:14" x14ac:dyDescent="0.25">
      <c r="B21" t="str">
        <f t="shared" si="1"/>
        <v>[0.99718,0.99718,0.99671,0.9939,0.98028,0.96526,0.96737,0.99484,0.64789,0.99718,0.9939,0.99437,0.998591549295774]</v>
      </c>
    </row>
    <row r="22" spans="2:14" x14ac:dyDescent="0.25">
      <c r="B22" t="str">
        <f t="shared" si="1"/>
        <v>[0.57347,0.56618,0.47384,0.50119,0.49658,0.4796,0.5191,0.43721,0.47667,0.53641,0.47381,0.49945,0.650009471053444]</v>
      </c>
    </row>
    <row r="23" spans="2:14" x14ac:dyDescent="0.25">
      <c r="B23" t="str">
        <f t="shared" si="1"/>
        <v>[0.5409,0.53191,0.52543,0.50183,0.50183,0.50345,0.50726,0.53417,0.51853,0.58292,0.4957,0.55686,0.531562632098069]</v>
      </c>
    </row>
    <row r="24" spans="2:14" x14ac:dyDescent="0.25">
      <c r="B24" t="str">
        <f t="shared" si="1"/>
        <v>[0.68383,0.66883,0.65583,0.56933,0.56139,0.56906,0.60592,0.75567,0.55694,0.72056,0.55967,0.71683,0.700166666666666]</v>
      </c>
      <c r="N24" s="6"/>
    </row>
    <row r="25" spans="2:14" x14ac:dyDescent="0.25">
      <c r="B25" t="str">
        <f t="shared" si="1"/>
        <v>[0.8748,0.8832,0.86667,0.86504,0.83957,0.77886,0.72927,0.85799,0.74201,0.90352,0.80379,0.89539,0.880487804878048]</v>
      </c>
    </row>
    <row r="26" spans="2:14" x14ac:dyDescent="0.25">
      <c r="B26" t="str">
        <f t="shared" si="1"/>
        <v>[0.78588,0.74856,0.80367,0.73823,0.72331,0.73823,0.74971,0.70953,0.71183,0.82893,0.60276,0.82721,0.784730195177956]</v>
      </c>
    </row>
    <row r="27" spans="2:14" x14ac:dyDescent="0.25">
      <c r="B27" t="str">
        <f t="shared" si="1"/>
        <v>[0.73224,0.72944,0.68955,0.62131,0.60922,0.57004,0.63637,0.76081,0.55621,0.72888,0.61728,0.70121,0.735914179104477]</v>
      </c>
    </row>
    <row r="28" spans="2:14" x14ac:dyDescent="0.25">
      <c r="B28" t="str">
        <f t="shared" si="1"/>
        <v>[0.99212,0.9916,0.96581,0.9668,0.96231,0.75034,0.96432,0.97979,0.82214,0.97791,0.95712,0.96695,0.982605605199025]</v>
      </c>
    </row>
    <row r="31" spans="2:14" x14ac:dyDescent="0.25">
      <c r="B31" t="str">
        <f>_xlfn.TEXTJOIN("','",TRUE,B2:N2)</f>
        <v>KNN','KNNW','LOF','SimplifiedLOF','LoOP','LDOF','ODIN','FastABOD','KDEOS','LDF','INFLO','COF','Gamma</v>
      </c>
    </row>
    <row r="33" spans="1:2" ht="17.25" x14ac:dyDescent="0.25">
      <c r="A33" s="4" t="s">
        <v>11</v>
      </c>
      <c r="B33" s="4" t="s">
        <v>32</v>
      </c>
    </row>
    <row r="34" spans="1:2" x14ac:dyDescent="0.25">
      <c r="A34" t="s">
        <v>35</v>
      </c>
      <c r="B34" s="2">
        <v>0.97450000000000003</v>
      </c>
    </row>
    <row r="35" spans="1:2" x14ac:dyDescent="0.25">
      <c r="A35" t="s">
        <v>1</v>
      </c>
      <c r="B35" s="2">
        <v>0.85409999999999997</v>
      </c>
    </row>
    <row r="36" spans="1:2" x14ac:dyDescent="0.25">
      <c r="A36" t="s">
        <v>2</v>
      </c>
      <c r="B36" s="2">
        <v>0.72499999999999998</v>
      </c>
    </row>
    <row r="37" spans="1:2" x14ac:dyDescent="0.25">
      <c r="A37" t="s">
        <v>3</v>
      </c>
      <c r="B37" s="2">
        <v>0.98670000000000002</v>
      </c>
    </row>
    <row r="38" spans="1:2" x14ac:dyDescent="0.25">
      <c r="A38" t="s">
        <v>4</v>
      </c>
      <c r="B38" s="2">
        <v>0.92220000000000002</v>
      </c>
    </row>
    <row r="39" spans="1:2" x14ac:dyDescent="0.25">
      <c r="A39" t="s">
        <v>5</v>
      </c>
      <c r="B39" s="2">
        <v>0.98599999999999999</v>
      </c>
    </row>
    <row r="40" spans="1:2" x14ac:dyDescent="0.25">
      <c r="A40" t="s">
        <v>6</v>
      </c>
      <c r="B40" s="2">
        <v>0.99390000000000001</v>
      </c>
    </row>
    <row r="41" spans="1:2" x14ac:dyDescent="0.25">
      <c r="A41" t="s">
        <v>7</v>
      </c>
      <c r="B41" s="2">
        <v>0.93869999999999998</v>
      </c>
    </row>
    <row r="42" spans="1:2" x14ac:dyDescent="0.25">
      <c r="A42" t="s">
        <v>8</v>
      </c>
      <c r="B42" s="2">
        <v>0.93610000000000004</v>
      </c>
    </row>
    <row r="43" spans="1:2" x14ac:dyDescent="0.25">
      <c r="A43" t="s">
        <v>9</v>
      </c>
      <c r="B43" s="2">
        <v>0.997</v>
      </c>
    </row>
    <row r="44" spans="1:2" x14ac:dyDescent="0.25">
      <c r="A44" t="s">
        <v>10</v>
      </c>
      <c r="B44" s="2">
        <v>0.97860000000000003</v>
      </c>
    </row>
    <row r="45" spans="1:2" x14ac:dyDescent="0.25">
      <c r="A45" t="s">
        <v>30</v>
      </c>
      <c r="B45" s="2">
        <f>AVERAGE(B34:B44)</f>
        <v>0.93570909090909093</v>
      </c>
    </row>
  </sheetData>
  <mergeCells count="2">
    <mergeCell ref="B1:M1"/>
    <mergeCell ref="N1:O1"/>
  </mergeCells>
  <conditionalFormatting sqref="B3:N14 P3:P14 R3:R14 T3:T14">
    <cfRule type="expression" dxfId="2" priority="2">
      <formula>B3=MAX($B3:$N3,$P3,$R3,$T3)</formula>
    </cfRule>
  </conditionalFormatting>
  <conditionalFormatting sqref="G5">
    <cfRule type="expression" dxfId="3" priority="1">
      <formula>B3=MAX($B3:$N3)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workbookViewId="0">
      <selection activeCell="G22" sqref="G22"/>
    </sheetView>
  </sheetViews>
  <sheetFormatPr defaultRowHeight="15" x14ac:dyDescent="0.25"/>
  <sheetData>
    <row r="1" spans="1:4" x14ac:dyDescent="0.25">
      <c r="A1" t="s">
        <v>20</v>
      </c>
      <c r="B1" t="s">
        <v>21</v>
      </c>
    </row>
    <row r="2" spans="1:4" x14ac:dyDescent="0.25">
      <c r="A2" t="s">
        <v>13</v>
      </c>
      <c r="B2">
        <v>0.74761</v>
      </c>
    </row>
    <row r="3" spans="1:4" x14ac:dyDescent="0.25">
      <c r="A3" t="s">
        <v>13</v>
      </c>
      <c r="B3">
        <v>0.75158000000000003</v>
      </c>
    </row>
    <row r="4" spans="1:4" x14ac:dyDescent="0.25">
      <c r="A4" t="s">
        <v>13</v>
      </c>
      <c r="B4">
        <v>0.75205</v>
      </c>
      <c r="D4">
        <f>MAX(B2:B5)</f>
        <v>0.75205</v>
      </c>
    </row>
    <row r="5" spans="1:4" x14ac:dyDescent="0.25">
      <c r="A5" t="s">
        <v>13</v>
      </c>
      <c r="B5">
        <v>0.74997999999999998</v>
      </c>
    </row>
    <row r="6" spans="1:4" x14ac:dyDescent="0.25">
      <c r="A6" t="s">
        <v>22</v>
      </c>
      <c r="B6">
        <v>0.74456999999999995</v>
      </c>
    </row>
    <row r="7" spans="1:4" x14ac:dyDescent="0.25">
      <c r="A7" t="s">
        <v>22</v>
      </c>
      <c r="B7">
        <v>0.74836999999999998</v>
      </c>
    </row>
    <row r="8" spans="1:4" x14ac:dyDescent="0.25">
      <c r="A8" t="s">
        <v>22</v>
      </c>
      <c r="B8">
        <v>0.75007999999999997</v>
      </c>
      <c r="D8">
        <f>MAX(B6:B9)</f>
        <v>0.75007999999999997</v>
      </c>
    </row>
    <row r="9" spans="1:4" x14ac:dyDescent="0.25">
      <c r="A9" t="s">
        <v>22</v>
      </c>
      <c r="B9">
        <v>0.75007999999999997</v>
      </c>
    </row>
    <row r="10" spans="1:4" x14ac:dyDescent="0.25">
      <c r="A10" t="s">
        <v>23</v>
      </c>
      <c r="B10">
        <v>0.71584000000000003</v>
      </c>
    </row>
    <row r="11" spans="1:4" x14ac:dyDescent="0.25">
      <c r="A11" t="s">
        <v>23</v>
      </c>
      <c r="B11">
        <v>0.72428000000000003</v>
      </c>
    </row>
    <row r="12" spans="1:4" x14ac:dyDescent="0.25">
      <c r="A12" t="s">
        <v>23</v>
      </c>
      <c r="B12">
        <v>0.74421000000000004</v>
      </c>
      <c r="D12">
        <f>MAX(B10:B13)</f>
        <v>0.74421000000000004</v>
      </c>
    </row>
    <row r="13" spans="1:4" x14ac:dyDescent="0.25">
      <c r="A13" t="s">
        <v>23</v>
      </c>
      <c r="B13">
        <v>0.74414999999999998</v>
      </c>
    </row>
    <row r="14" spans="1:4" x14ac:dyDescent="0.25">
      <c r="A14" t="s">
        <v>24</v>
      </c>
      <c r="B14">
        <v>0.71930000000000005</v>
      </c>
    </row>
    <row r="15" spans="1:4" x14ac:dyDescent="0.25">
      <c r="A15" t="s">
        <v>24</v>
      </c>
      <c r="B15">
        <v>0.73812</v>
      </c>
    </row>
    <row r="16" spans="1:4" x14ac:dyDescent="0.25">
      <c r="A16" t="s">
        <v>24</v>
      </c>
      <c r="B16">
        <v>0.74339</v>
      </c>
      <c r="D16">
        <f>MAX(B14:B17)</f>
        <v>0.74339</v>
      </c>
    </row>
    <row r="17" spans="1:4" x14ac:dyDescent="0.25">
      <c r="A17" t="s">
        <v>24</v>
      </c>
      <c r="B17">
        <v>0.74319999999999997</v>
      </c>
    </row>
    <row r="18" spans="1:4" x14ac:dyDescent="0.25">
      <c r="A18" t="s">
        <v>25</v>
      </c>
      <c r="B18">
        <v>0.71847000000000005</v>
      </c>
    </row>
    <row r="19" spans="1:4" x14ac:dyDescent="0.25">
      <c r="A19" t="s">
        <v>25</v>
      </c>
      <c r="B19">
        <v>0.73836000000000002</v>
      </c>
    </row>
    <row r="20" spans="1:4" x14ac:dyDescent="0.25">
      <c r="A20" t="s">
        <v>25</v>
      </c>
      <c r="B20">
        <v>0.74111000000000005</v>
      </c>
      <c r="D20">
        <f>MAX(B18:B21)</f>
        <v>0.74111000000000005</v>
      </c>
    </row>
    <row r="21" spans="1:4" x14ac:dyDescent="0.25">
      <c r="A21" t="s">
        <v>25</v>
      </c>
      <c r="B21">
        <v>0.74097000000000002</v>
      </c>
    </row>
    <row r="22" spans="1:4" x14ac:dyDescent="0.25">
      <c r="A22" t="s">
        <v>15</v>
      </c>
      <c r="B22">
        <v>0.71986000000000006</v>
      </c>
    </row>
    <row r="23" spans="1:4" x14ac:dyDescent="0.25">
      <c r="A23" t="s">
        <v>15</v>
      </c>
      <c r="B23">
        <v>0.71870999999999996</v>
      </c>
      <c r="D23">
        <f>MAX(B22:B24)</f>
        <v>0.73451999999999995</v>
      </c>
    </row>
    <row r="24" spans="1:4" x14ac:dyDescent="0.25">
      <c r="A24" t="s">
        <v>15</v>
      </c>
      <c r="B24">
        <v>0.73451999999999995</v>
      </c>
    </row>
    <row r="25" spans="1:4" x14ac:dyDescent="0.25">
      <c r="A25" t="s">
        <v>26</v>
      </c>
      <c r="B25">
        <v>0.71862999999999999</v>
      </c>
      <c r="D25">
        <f>MAX(B25:B27)</f>
        <v>0.72668999999999995</v>
      </c>
    </row>
    <row r="26" spans="1:4" x14ac:dyDescent="0.25">
      <c r="A26" t="s">
        <v>26</v>
      </c>
      <c r="B26">
        <v>0.72275999999999996</v>
      </c>
    </row>
    <row r="27" spans="1:4" x14ac:dyDescent="0.25">
      <c r="A27" t="s">
        <v>26</v>
      </c>
      <c r="B27">
        <v>0.72668999999999995</v>
      </c>
    </row>
    <row r="28" spans="1:4" x14ac:dyDescent="0.25">
      <c r="A28" t="s">
        <v>14</v>
      </c>
      <c r="B28">
        <v>0.73404000000000003</v>
      </c>
      <c r="D28">
        <f>MAX(B28:B29)</f>
        <v>0.74175999999999997</v>
      </c>
    </row>
    <row r="29" spans="1:4" x14ac:dyDescent="0.25">
      <c r="A29" t="s">
        <v>14</v>
      </c>
      <c r="B29">
        <v>0.74175999999999997</v>
      </c>
    </row>
    <row r="30" spans="1:4" x14ac:dyDescent="0.25">
      <c r="A30" t="s">
        <v>27</v>
      </c>
      <c r="B30">
        <v>0.65053000000000005</v>
      </c>
      <c r="D30">
        <f>MAX(B30:B31)</f>
        <v>0.66100999999999999</v>
      </c>
    </row>
    <row r="31" spans="1:4" x14ac:dyDescent="0.25">
      <c r="A31" t="s">
        <v>27</v>
      </c>
      <c r="B31">
        <v>0.66100999999999999</v>
      </c>
    </row>
    <row r="32" spans="1:4" x14ac:dyDescent="0.25">
      <c r="A32" t="s">
        <v>16</v>
      </c>
      <c r="B32">
        <v>0.71103000000000005</v>
      </c>
    </row>
    <row r="33" spans="1:4" x14ac:dyDescent="0.25">
      <c r="A33" t="s">
        <v>16</v>
      </c>
      <c r="B33">
        <v>0.70535999999999999</v>
      </c>
      <c r="D33">
        <f>MAX(B32:B35)</f>
        <v>0.72285999999999995</v>
      </c>
    </row>
    <row r="34" spans="1:4" x14ac:dyDescent="0.25">
      <c r="A34" t="s">
        <v>16</v>
      </c>
      <c r="B34">
        <v>0.72285999999999995</v>
      </c>
    </row>
    <row r="35" spans="1:4" x14ac:dyDescent="0.25">
      <c r="A35" t="s">
        <v>16</v>
      </c>
      <c r="B35">
        <v>0.70821999999999996</v>
      </c>
    </row>
    <row r="36" spans="1:4" x14ac:dyDescent="0.25">
      <c r="A36" t="s">
        <v>28</v>
      </c>
      <c r="B36">
        <v>0.73038000000000003</v>
      </c>
      <c r="D36">
        <f>MAX(B36:B38)</f>
        <v>0.73153999999999997</v>
      </c>
    </row>
    <row r="37" spans="1:4" x14ac:dyDescent="0.25">
      <c r="A37" t="s">
        <v>28</v>
      </c>
      <c r="B37">
        <v>0.73038000000000003</v>
      </c>
    </row>
    <row r="38" spans="1:4" x14ac:dyDescent="0.25">
      <c r="A38" t="s">
        <v>28</v>
      </c>
      <c r="B38">
        <v>0.73153999999999997</v>
      </c>
    </row>
    <row r="39" spans="1:4" x14ac:dyDescent="0.25">
      <c r="A39" t="s">
        <v>29</v>
      </c>
      <c r="B39">
        <v>0.71160000000000001</v>
      </c>
      <c r="D39">
        <f>MAX(B39:B42)</f>
        <v>0.73385</v>
      </c>
    </row>
    <row r="40" spans="1:4" x14ac:dyDescent="0.25">
      <c r="A40" t="s">
        <v>29</v>
      </c>
      <c r="B40">
        <v>0.72340000000000004</v>
      </c>
    </row>
    <row r="41" spans="1:4" x14ac:dyDescent="0.25">
      <c r="A41" t="s">
        <v>29</v>
      </c>
      <c r="B41">
        <v>0.73385</v>
      </c>
    </row>
    <row r="42" spans="1:4" x14ac:dyDescent="0.25">
      <c r="A42" t="s">
        <v>29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0.64753000000000005</v>
      </c>
    </row>
    <row r="3" spans="1:3" x14ac:dyDescent="0.25">
      <c r="A3" t="s">
        <v>13</v>
      </c>
      <c r="B3">
        <v>0.65234999999999999</v>
      </c>
      <c r="C3">
        <f>MAX(B2:B4)</f>
        <v>0.65234999999999999</v>
      </c>
    </row>
    <row r="4" spans="1:3" x14ac:dyDescent="0.25">
      <c r="A4" t="s">
        <v>13</v>
      </c>
      <c r="B4">
        <v>0.63349999999999995</v>
      </c>
    </row>
    <row r="5" spans="1:3" x14ac:dyDescent="0.25">
      <c r="A5" t="s">
        <v>22</v>
      </c>
      <c r="B5">
        <v>0.64115999999999995</v>
      </c>
    </row>
    <row r="6" spans="1:3" x14ac:dyDescent="0.25">
      <c r="A6" t="s">
        <v>22</v>
      </c>
      <c r="B6">
        <v>0.64398999999999995</v>
      </c>
      <c r="C6">
        <f>MAX(B5:B6)</f>
        <v>0.64398999999999995</v>
      </c>
    </row>
    <row r="7" spans="1:3" x14ac:dyDescent="0.25">
      <c r="A7" t="s">
        <v>23</v>
      </c>
      <c r="B7">
        <v>0.59609000000000001</v>
      </c>
      <c r="C7">
        <f>MAX(B7:B10)</f>
        <v>0.61195999999999995</v>
      </c>
    </row>
    <row r="8" spans="1:3" x14ac:dyDescent="0.25">
      <c r="A8" t="s">
        <v>23</v>
      </c>
      <c r="B8">
        <v>0.61195999999999995</v>
      </c>
    </row>
    <row r="9" spans="1:3" x14ac:dyDescent="0.25">
      <c r="A9" t="s">
        <v>23</v>
      </c>
      <c r="B9">
        <v>0.60189999999999999</v>
      </c>
    </row>
    <row r="10" spans="1:3" x14ac:dyDescent="0.25">
      <c r="A10" t="s">
        <v>23</v>
      </c>
      <c r="B10">
        <v>0.46357999999999999</v>
      </c>
    </row>
    <row r="11" spans="1:3" x14ac:dyDescent="0.25">
      <c r="A11" t="s">
        <v>24</v>
      </c>
      <c r="B11">
        <v>0.60346</v>
      </c>
      <c r="C11">
        <f>MAX(B11:B13)</f>
        <v>0.60728000000000004</v>
      </c>
    </row>
    <row r="12" spans="1:3" x14ac:dyDescent="0.25">
      <c r="A12" t="s">
        <v>24</v>
      </c>
      <c r="B12">
        <v>0.60643000000000002</v>
      </c>
    </row>
    <row r="13" spans="1:3" x14ac:dyDescent="0.25">
      <c r="A13" t="s">
        <v>24</v>
      </c>
      <c r="B13">
        <v>0.60728000000000004</v>
      </c>
    </row>
    <row r="14" spans="1:3" x14ac:dyDescent="0.25">
      <c r="A14" t="s">
        <v>25</v>
      </c>
      <c r="B14">
        <v>0.46994999999999998</v>
      </c>
      <c r="C14">
        <f>MAX(B14:B17)</f>
        <v>0.58311999999999997</v>
      </c>
    </row>
    <row r="15" spans="1:3" x14ac:dyDescent="0.25">
      <c r="A15" t="s">
        <v>25</v>
      </c>
      <c r="B15">
        <v>0.56738999999999995</v>
      </c>
    </row>
    <row r="16" spans="1:3" x14ac:dyDescent="0.25">
      <c r="A16" t="s">
        <v>25</v>
      </c>
      <c r="B16">
        <v>0.58311999999999997</v>
      </c>
    </row>
    <row r="17" spans="1:3" x14ac:dyDescent="0.25">
      <c r="A17" t="s">
        <v>25</v>
      </c>
      <c r="B17">
        <v>0.57865999999999995</v>
      </c>
    </row>
    <row r="18" spans="1:3" x14ac:dyDescent="0.25">
      <c r="A18" t="s">
        <v>15</v>
      </c>
      <c r="B18">
        <v>0.51558999999999999</v>
      </c>
      <c r="C18">
        <f>MAX(B18:B20)</f>
        <v>0.55315000000000003</v>
      </c>
    </row>
    <row r="19" spans="1:3" x14ac:dyDescent="0.25">
      <c r="A19" t="s">
        <v>15</v>
      </c>
      <c r="B19">
        <v>0.54052999999999995</v>
      </c>
    </row>
    <row r="20" spans="1:3" x14ac:dyDescent="0.25">
      <c r="A20" t="s">
        <v>15</v>
      </c>
      <c r="B20">
        <v>0.55315000000000003</v>
      </c>
    </row>
    <row r="21" spans="1:3" x14ac:dyDescent="0.25">
      <c r="A21" t="s">
        <v>26</v>
      </c>
      <c r="B21">
        <v>0.52388000000000001</v>
      </c>
      <c r="C21">
        <f>MAX(B21:B23)</f>
        <v>0.52607999999999999</v>
      </c>
    </row>
    <row r="22" spans="1:3" x14ac:dyDescent="0.25">
      <c r="A22" t="s">
        <v>26</v>
      </c>
      <c r="B22">
        <v>0.52607999999999999</v>
      </c>
    </row>
    <row r="23" spans="1:3" x14ac:dyDescent="0.25">
      <c r="A23" t="s">
        <v>26</v>
      </c>
      <c r="B23">
        <v>0.51651000000000002</v>
      </c>
    </row>
    <row r="24" spans="1:3" x14ac:dyDescent="0.25">
      <c r="A24" t="s">
        <v>14</v>
      </c>
      <c r="B24">
        <v>0.65505000000000002</v>
      </c>
      <c r="C24">
        <f>MAX(B24:B27)</f>
        <v>0.66993000000000003</v>
      </c>
    </row>
    <row r="25" spans="1:3" x14ac:dyDescent="0.25">
      <c r="A25" t="s">
        <v>14</v>
      </c>
      <c r="B25">
        <v>0.66908000000000001</v>
      </c>
    </row>
    <row r="26" spans="1:3" x14ac:dyDescent="0.25">
      <c r="A26" t="s">
        <v>14</v>
      </c>
      <c r="B26">
        <v>0.66993000000000003</v>
      </c>
    </row>
    <row r="27" spans="1:3" x14ac:dyDescent="0.25">
      <c r="A27" t="s">
        <v>14</v>
      </c>
      <c r="B27">
        <v>0.64881</v>
      </c>
    </row>
    <row r="28" spans="1:3" x14ac:dyDescent="0.25">
      <c r="A28" t="s">
        <v>27</v>
      </c>
      <c r="B28">
        <v>0.52622000000000002</v>
      </c>
      <c r="C28">
        <f>MAX(B28:B31)</f>
        <v>0.58672999999999997</v>
      </c>
    </row>
    <row r="29" spans="1:3" x14ac:dyDescent="0.25">
      <c r="A29" t="s">
        <v>27</v>
      </c>
      <c r="B29">
        <v>0.57808999999999999</v>
      </c>
    </row>
    <row r="30" spans="1:3" x14ac:dyDescent="0.25">
      <c r="A30" t="s">
        <v>27</v>
      </c>
      <c r="B30">
        <v>0.58672999999999997</v>
      </c>
    </row>
    <row r="31" spans="1:3" x14ac:dyDescent="0.25">
      <c r="A31" t="s">
        <v>27</v>
      </c>
      <c r="B31">
        <v>0.58574000000000004</v>
      </c>
    </row>
    <row r="32" spans="1:3" x14ac:dyDescent="0.25">
      <c r="A32" t="s">
        <v>16</v>
      </c>
      <c r="B32">
        <v>0.60218000000000005</v>
      </c>
      <c r="C32">
        <f>MAX(B32:B34)</f>
        <v>0.60218000000000005</v>
      </c>
    </row>
    <row r="33" spans="1:3" x14ac:dyDescent="0.25">
      <c r="A33" t="s">
        <v>16</v>
      </c>
      <c r="B33">
        <v>0.40178999999999998</v>
      </c>
    </row>
    <row r="34" spans="1:3" x14ac:dyDescent="0.25">
      <c r="A34" t="s">
        <v>16</v>
      </c>
      <c r="B34">
        <v>0.49008000000000002</v>
      </c>
    </row>
    <row r="35" spans="1:3" x14ac:dyDescent="0.25">
      <c r="A35" t="s">
        <v>28</v>
      </c>
      <c r="B35">
        <v>0.56589999999999996</v>
      </c>
      <c r="C35">
        <f>MAX(B35:B38)</f>
        <v>0.59197999999999995</v>
      </c>
    </row>
    <row r="36" spans="1:3" x14ac:dyDescent="0.25">
      <c r="A36" t="s">
        <v>28</v>
      </c>
      <c r="B36">
        <v>0.59197999999999995</v>
      </c>
    </row>
    <row r="37" spans="1:3" x14ac:dyDescent="0.25">
      <c r="A37" t="s">
        <v>28</v>
      </c>
      <c r="B37">
        <v>0.58248</v>
      </c>
    </row>
    <row r="38" spans="1:3" x14ac:dyDescent="0.25">
      <c r="A38" t="s">
        <v>28</v>
      </c>
      <c r="B38">
        <v>0.58389999999999997</v>
      </c>
    </row>
    <row r="39" spans="1:3" x14ac:dyDescent="0.25">
      <c r="A39" t="s">
        <v>29</v>
      </c>
      <c r="B39">
        <v>0.60919999999999996</v>
      </c>
      <c r="C39">
        <f>MAX(B39:B42)</f>
        <v>0.64966000000000002</v>
      </c>
    </row>
    <row r="40" spans="1:3" x14ac:dyDescent="0.25">
      <c r="A40" t="s">
        <v>29</v>
      </c>
      <c r="B40">
        <v>0.58687999999999996</v>
      </c>
    </row>
    <row r="41" spans="1:3" x14ac:dyDescent="0.25">
      <c r="A41" t="s">
        <v>29</v>
      </c>
      <c r="B41">
        <v>0.64966000000000002</v>
      </c>
    </row>
    <row r="42" spans="1:3" x14ac:dyDescent="0.25">
      <c r="A42" t="s">
        <v>29</v>
      </c>
      <c r="B42">
        <v>0.64753000000000005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0.44827</v>
      </c>
      <c r="C2">
        <f>MAX(B2:B4)</f>
        <v>0.81762000000000001</v>
      </c>
    </row>
    <row r="3" spans="1:3" x14ac:dyDescent="0.25">
      <c r="A3" t="s">
        <v>13</v>
      </c>
      <c r="B3">
        <v>0.81762000000000001</v>
      </c>
    </row>
    <row r="4" spans="1:3" x14ac:dyDescent="0.25">
      <c r="A4" t="s">
        <v>13</v>
      </c>
      <c r="B4">
        <v>0.63468999999999998</v>
      </c>
    </row>
    <row r="5" spans="1:3" x14ac:dyDescent="0.25">
      <c r="A5" t="s">
        <v>22</v>
      </c>
      <c r="B5">
        <v>0.30153999999999997</v>
      </c>
      <c r="C5">
        <f>MAX(B5:B6)</f>
        <v>0.72785</v>
      </c>
    </row>
    <row r="6" spans="1:3" x14ac:dyDescent="0.25">
      <c r="A6" t="s">
        <v>22</v>
      </c>
      <c r="B6">
        <v>0.72785</v>
      </c>
    </row>
    <row r="7" spans="1:3" x14ac:dyDescent="0.25">
      <c r="A7" t="s">
        <v>23</v>
      </c>
      <c r="B7">
        <v>0.43808000000000002</v>
      </c>
      <c r="C7">
        <f>MAX(B7:B10)</f>
        <v>0.78208</v>
      </c>
    </row>
    <row r="8" spans="1:3" x14ac:dyDescent="0.25">
      <c r="A8" t="s">
        <v>23</v>
      </c>
      <c r="B8">
        <v>0.78208</v>
      </c>
    </row>
    <row r="9" spans="1:3" x14ac:dyDescent="0.25">
      <c r="A9" t="s">
        <v>23</v>
      </c>
      <c r="B9">
        <v>0.72138000000000002</v>
      </c>
    </row>
    <row r="10" spans="1:3" x14ac:dyDescent="0.25">
      <c r="A10" t="s">
        <v>23</v>
      </c>
      <c r="B10">
        <v>0.72423000000000004</v>
      </c>
    </row>
    <row r="11" spans="1:3" x14ac:dyDescent="0.25">
      <c r="A11" t="s">
        <v>24</v>
      </c>
      <c r="B11">
        <v>0.50885000000000002</v>
      </c>
      <c r="C11">
        <f>MAX(B11:B13)</f>
        <v>0.76607999999999998</v>
      </c>
    </row>
    <row r="12" spans="1:3" x14ac:dyDescent="0.25">
      <c r="A12" t="s">
        <v>24</v>
      </c>
      <c r="B12">
        <v>0.76276999999999995</v>
      </c>
    </row>
    <row r="13" spans="1:3" x14ac:dyDescent="0.25">
      <c r="A13" t="s">
        <v>24</v>
      </c>
      <c r="B13">
        <v>0.76607999999999998</v>
      </c>
    </row>
    <row r="14" spans="1:3" x14ac:dyDescent="0.25">
      <c r="A14" t="s">
        <v>25</v>
      </c>
      <c r="B14">
        <v>0.50876999999999994</v>
      </c>
      <c r="C14">
        <f>MAX(B14:B17)</f>
        <v>0.78991999999999996</v>
      </c>
    </row>
    <row r="15" spans="1:3" x14ac:dyDescent="0.25">
      <c r="A15" t="s">
        <v>25</v>
      </c>
      <c r="B15">
        <v>0.78991999999999996</v>
      </c>
    </row>
    <row r="16" spans="1:3" x14ac:dyDescent="0.25">
      <c r="A16" t="s">
        <v>25</v>
      </c>
      <c r="B16">
        <v>0.76131000000000004</v>
      </c>
    </row>
    <row r="17" spans="1:3" x14ac:dyDescent="0.25">
      <c r="A17" t="s">
        <v>25</v>
      </c>
      <c r="B17">
        <v>0.76400000000000001</v>
      </c>
    </row>
    <row r="18" spans="1:3" x14ac:dyDescent="0.25">
      <c r="A18" t="s">
        <v>15</v>
      </c>
      <c r="B18">
        <v>0.50585000000000002</v>
      </c>
      <c r="C18">
        <f>MAX(B18:B21)</f>
        <v>0.84753999999999996</v>
      </c>
    </row>
    <row r="19" spans="1:3" x14ac:dyDescent="0.25">
      <c r="A19" t="s">
        <v>15</v>
      </c>
      <c r="B19">
        <v>0.35654000000000002</v>
      </c>
    </row>
    <row r="20" spans="1:3" x14ac:dyDescent="0.25">
      <c r="A20" t="s">
        <v>15</v>
      </c>
      <c r="B20">
        <v>0.84462000000000004</v>
      </c>
    </row>
    <row r="21" spans="1:3" x14ac:dyDescent="0.25">
      <c r="A21" t="s">
        <v>15</v>
      </c>
      <c r="B21">
        <v>0.84753999999999996</v>
      </c>
    </row>
    <row r="22" spans="1:3" x14ac:dyDescent="0.25">
      <c r="A22" t="s">
        <v>26</v>
      </c>
      <c r="B22">
        <v>0.61223000000000005</v>
      </c>
      <c r="C22">
        <f>MAX(B22:B24)</f>
        <v>0.78900000000000003</v>
      </c>
    </row>
    <row r="23" spans="1:3" x14ac:dyDescent="0.25">
      <c r="A23" t="s">
        <v>26</v>
      </c>
      <c r="B23">
        <v>0.78900000000000003</v>
      </c>
    </row>
    <row r="24" spans="1:3" x14ac:dyDescent="0.25">
      <c r="A24" t="s">
        <v>26</v>
      </c>
      <c r="B24">
        <v>0.77712000000000003</v>
      </c>
    </row>
    <row r="25" spans="1:3" x14ac:dyDescent="0.25">
      <c r="A25" t="s">
        <v>14</v>
      </c>
      <c r="B25">
        <v>0.316</v>
      </c>
      <c r="C25">
        <f>MAX(B25:B27)</f>
        <v>0.316</v>
      </c>
    </row>
    <row r="26" spans="1:3" x14ac:dyDescent="0.25">
      <c r="A26" t="s">
        <v>14</v>
      </c>
      <c r="B26">
        <v>0.27792</v>
      </c>
    </row>
    <row r="27" spans="1:3" x14ac:dyDescent="0.25">
      <c r="A27" t="s">
        <v>14</v>
      </c>
      <c r="B27">
        <v>0.26430999999999999</v>
      </c>
    </row>
    <row r="28" spans="1:3" x14ac:dyDescent="0.25">
      <c r="A28" t="s">
        <v>27</v>
      </c>
      <c r="B28">
        <v>0.69191999999999998</v>
      </c>
      <c r="C28">
        <f>MAX(B28:B31)</f>
        <v>0.69191999999999998</v>
      </c>
    </row>
    <row r="29" spans="1:3" x14ac:dyDescent="0.25">
      <c r="A29" t="s">
        <v>27</v>
      </c>
      <c r="B29">
        <v>0.62185000000000001</v>
      </c>
    </row>
    <row r="30" spans="1:3" x14ac:dyDescent="0.25">
      <c r="A30" t="s">
        <v>27</v>
      </c>
      <c r="B30">
        <v>0.65207999999999999</v>
      </c>
    </row>
    <row r="31" spans="1:3" x14ac:dyDescent="0.25">
      <c r="A31" t="s">
        <v>27</v>
      </c>
      <c r="B31">
        <v>0.66554000000000002</v>
      </c>
    </row>
    <row r="32" spans="1:3" x14ac:dyDescent="0.25">
      <c r="A32" t="s">
        <v>16</v>
      </c>
      <c r="B32">
        <v>0.41685</v>
      </c>
      <c r="C32">
        <f>MAX(B32:B35)</f>
        <v>0.71584999999999999</v>
      </c>
    </row>
    <row r="33" spans="1:3" x14ac:dyDescent="0.25">
      <c r="A33" t="s">
        <v>16</v>
      </c>
      <c r="B33">
        <v>0.71584999999999999</v>
      </c>
    </row>
    <row r="34" spans="1:3" x14ac:dyDescent="0.25">
      <c r="A34" t="s">
        <v>16</v>
      </c>
      <c r="B34">
        <v>0.67945999999999995</v>
      </c>
    </row>
    <row r="35" spans="1:3" x14ac:dyDescent="0.25">
      <c r="A35" t="s">
        <v>16</v>
      </c>
      <c r="B35">
        <v>0.69762000000000002</v>
      </c>
    </row>
    <row r="36" spans="1:3" x14ac:dyDescent="0.25">
      <c r="A36" t="s">
        <v>28</v>
      </c>
      <c r="B36">
        <v>0.48437999999999998</v>
      </c>
      <c r="C36">
        <f>MAX(B36:B38)</f>
        <v>0.79884999999999995</v>
      </c>
    </row>
    <row r="37" spans="1:3" x14ac:dyDescent="0.25">
      <c r="A37" t="s">
        <v>28</v>
      </c>
      <c r="B37">
        <v>0.79884999999999995</v>
      </c>
    </row>
    <row r="38" spans="1:3" x14ac:dyDescent="0.25">
      <c r="A38" t="s">
        <v>28</v>
      </c>
      <c r="B38">
        <v>0.79408000000000001</v>
      </c>
    </row>
    <row r="39" spans="1:3" x14ac:dyDescent="0.25">
      <c r="A39" t="s">
        <v>29</v>
      </c>
      <c r="B39">
        <v>0.50680999999999998</v>
      </c>
      <c r="C39">
        <f>MAX(B39:B42)</f>
        <v>0.63968999999999998</v>
      </c>
    </row>
    <row r="40" spans="1:3" x14ac:dyDescent="0.25">
      <c r="A40" t="s">
        <v>29</v>
      </c>
      <c r="B40">
        <v>0.46515000000000001</v>
      </c>
    </row>
    <row r="41" spans="1:3" x14ac:dyDescent="0.25">
      <c r="A41" t="s">
        <v>29</v>
      </c>
      <c r="B41">
        <v>0.38338</v>
      </c>
    </row>
    <row r="42" spans="1:3" x14ac:dyDescent="0.25">
      <c r="A42" t="s">
        <v>29</v>
      </c>
      <c r="B42">
        <v>0.63968999999999998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0.99577000000000004</v>
      </c>
      <c r="C2">
        <f>MAX(B2:B3)</f>
        <v>0.99717999999999996</v>
      </c>
    </row>
    <row r="3" spans="1:3" x14ac:dyDescent="0.25">
      <c r="A3" t="s">
        <v>13</v>
      </c>
      <c r="B3">
        <v>0.99717999999999996</v>
      </c>
    </row>
    <row r="4" spans="1:3" x14ac:dyDescent="0.25">
      <c r="A4" t="s">
        <v>22</v>
      </c>
      <c r="B4">
        <v>0.99155000000000004</v>
      </c>
      <c r="C4">
        <f>MAX(B4:B6)</f>
        <v>0.99717999999999996</v>
      </c>
    </row>
    <row r="5" spans="1:3" x14ac:dyDescent="0.25">
      <c r="A5" t="s">
        <v>22</v>
      </c>
      <c r="B5">
        <v>0.99436999999999998</v>
      </c>
    </row>
    <row r="6" spans="1:3" x14ac:dyDescent="0.25">
      <c r="A6" t="s">
        <v>22</v>
      </c>
      <c r="B6">
        <v>0.99717999999999996</v>
      </c>
    </row>
    <row r="7" spans="1:3" x14ac:dyDescent="0.25">
      <c r="A7" t="s">
        <v>23</v>
      </c>
      <c r="B7">
        <v>0.99248999999999998</v>
      </c>
      <c r="C7">
        <f>MAX(B7:B9)</f>
        <v>0.99670999999999998</v>
      </c>
    </row>
    <row r="8" spans="1:3" x14ac:dyDescent="0.25">
      <c r="A8" t="s">
        <v>23</v>
      </c>
      <c r="B8">
        <v>0.99531000000000003</v>
      </c>
    </row>
    <row r="9" spans="1:3" x14ac:dyDescent="0.25">
      <c r="A9" t="s">
        <v>23</v>
      </c>
      <c r="B9">
        <v>0.99670999999999998</v>
      </c>
    </row>
    <row r="10" spans="1:3" x14ac:dyDescent="0.25">
      <c r="A10" t="s">
        <v>24</v>
      </c>
      <c r="B10">
        <v>0.99295999999999995</v>
      </c>
      <c r="C10">
        <f>MAX(B10:B11)</f>
        <v>0.99390000000000001</v>
      </c>
    </row>
    <row r="11" spans="1:3" x14ac:dyDescent="0.25">
      <c r="A11" t="s">
        <v>24</v>
      </c>
      <c r="B11">
        <v>0.99390000000000001</v>
      </c>
    </row>
    <row r="12" spans="1:3" x14ac:dyDescent="0.25">
      <c r="A12" t="s">
        <v>25</v>
      </c>
      <c r="B12">
        <v>0.97840000000000005</v>
      </c>
      <c r="C12">
        <f>MAX(B12:B14)</f>
        <v>0.98028000000000004</v>
      </c>
    </row>
    <row r="13" spans="1:3" x14ac:dyDescent="0.25">
      <c r="A13" t="s">
        <v>25</v>
      </c>
      <c r="B13">
        <v>0.97887000000000002</v>
      </c>
    </row>
    <row r="14" spans="1:3" x14ac:dyDescent="0.25">
      <c r="A14" t="s">
        <v>25</v>
      </c>
      <c r="B14">
        <v>0.98028000000000004</v>
      </c>
    </row>
    <row r="15" spans="1:3" x14ac:dyDescent="0.25">
      <c r="A15" t="s">
        <v>15</v>
      </c>
      <c r="B15">
        <v>0.95728000000000002</v>
      </c>
      <c r="C15">
        <f>MAX(B15:B17)</f>
        <v>0.96526000000000001</v>
      </c>
    </row>
    <row r="16" spans="1:3" x14ac:dyDescent="0.25">
      <c r="A16" t="s">
        <v>15</v>
      </c>
      <c r="B16">
        <v>0.96338000000000001</v>
      </c>
    </row>
    <row r="17" spans="1:3" x14ac:dyDescent="0.25">
      <c r="A17" t="s">
        <v>15</v>
      </c>
      <c r="B17">
        <v>0.96526000000000001</v>
      </c>
    </row>
    <row r="18" spans="1:3" x14ac:dyDescent="0.25">
      <c r="A18" t="s">
        <v>26</v>
      </c>
      <c r="B18">
        <v>0.95962000000000003</v>
      </c>
      <c r="C18">
        <f>MAX(B18:B20)</f>
        <v>0.96736999999999995</v>
      </c>
    </row>
    <row r="19" spans="1:3" x14ac:dyDescent="0.25">
      <c r="A19" t="s">
        <v>26</v>
      </c>
      <c r="B19">
        <v>0.96103000000000005</v>
      </c>
    </row>
    <row r="20" spans="1:3" x14ac:dyDescent="0.25">
      <c r="A20" t="s">
        <v>26</v>
      </c>
      <c r="B20">
        <v>0.96736999999999995</v>
      </c>
    </row>
    <row r="21" spans="1:3" x14ac:dyDescent="0.25">
      <c r="A21" t="s">
        <v>14</v>
      </c>
      <c r="B21">
        <v>0.99343000000000004</v>
      </c>
      <c r="C21">
        <f>MAX(B21:B23)</f>
        <v>0.99483999999999995</v>
      </c>
    </row>
    <row r="22" spans="1:3" x14ac:dyDescent="0.25">
      <c r="A22" t="s">
        <v>14</v>
      </c>
      <c r="B22">
        <v>0.99436999999999998</v>
      </c>
    </row>
    <row r="23" spans="1:3" x14ac:dyDescent="0.25">
      <c r="A23" t="s">
        <v>14</v>
      </c>
      <c r="B23">
        <v>0.99483999999999995</v>
      </c>
    </row>
    <row r="24" spans="1:3" x14ac:dyDescent="0.25">
      <c r="A24" t="s">
        <v>27</v>
      </c>
      <c r="B24">
        <v>0.64788999999999997</v>
      </c>
      <c r="C24">
        <f>MAX(B24:B27)</f>
        <v>0.64788999999999997</v>
      </c>
    </row>
    <row r="25" spans="1:3" x14ac:dyDescent="0.25">
      <c r="A25" t="s">
        <v>27</v>
      </c>
      <c r="B25">
        <v>0.6169</v>
      </c>
    </row>
    <row r="26" spans="1:3" x14ac:dyDescent="0.25">
      <c r="A26" t="s">
        <v>27</v>
      </c>
      <c r="B26">
        <v>0.62770000000000004</v>
      </c>
    </row>
    <row r="27" spans="1:3" x14ac:dyDescent="0.25">
      <c r="A27" t="s">
        <v>27</v>
      </c>
      <c r="B27">
        <v>0.55586999999999998</v>
      </c>
    </row>
    <row r="28" spans="1:3" x14ac:dyDescent="0.25">
      <c r="A28" t="s">
        <v>16</v>
      </c>
      <c r="B28">
        <v>0.99060999999999999</v>
      </c>
      <c r="C28">
        <f>MAX(B28:B30)</f>
        <v>0.99717999999999996</v>
      </c>
    </row>
    <row r="29" spans="1:3" x14ac:dyDescent="0.25">
      <c r="A29" t="s">
        <v>16</v>
      </c>
      <c r="B29">
        <v>0.99624000000000001</v>
      </c>
    </row>
    <row r="30" spans="1:3" x14ac:dyDescent="0.25">
      <c r="A30" t="s">
        <v>16</v>
      </c>
      <c r="B30">
        <v>0.99717999999999996</v>
      </c>
    </row>
    <row r="31" spans="1:3" x14ac:dyDescent="0.25">
      <c r="A31" t="s">
        <v>28</v>
      </c>
      <c r="B31">
        <v>0.99390000000000001</v>
      </c>
      <c r="C31">
        <f>B31</f>
        <v>0.99390000000000001</v>
      </c>
    </row>
    <row r="32" spans="1:3" x14ac:dyDescent="0.25">
      <c r="A32" t="s">
        <v>29</v>
      </c>
      <c r="B32">
        <v>0.99436999999999998</v>
      </c>
      <c r="C32">
        <f>MAX(B32:B33)</f>
        <v>0.99436999999999998</v>
      </c>
    </row>
    <row r="33" spans="1:2" x14ac:dyDescent="0.25">
      <c r="A33" t="s">
        <v>29</v>
      </c>
      <c r="B33">
        <v>0.99202000000000001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0.55615000000000003</v>
      </c>
      <c r="C2">
        <f>MAX(B2:B5)</f>
        <v>0.57347000000000004</v>
      </c>
    </row>
    <row r="3" spans="1:3" x14ac:dyDescent="0.25">
      <c r="A3" t="s">
        <v>13</v>
      </c>
      <c r="B3">
        <v>0.56925999999999999</v>
      </c>
    </row>
    <row r="4" spans="1:3" x14ac:dyDescent="0.25">
      <c r="A4" t="s">
        <v>13</v>
      </c>
      <c r="B4">
        <v>0.57174000000000003</v>
      </c>
    </row>
    <row r="5" spans="1:3" x14ac:dyDescent="0.25">
      <c r="A5" t="s">
        <v>13</v>
      </c>
      <c r="B5">
        <v>0.57347000000000004</v>
      </c>
    </row>
    <row r="6" spans="1:3" x14ac:dyDescent="0.25">
      <c r="A6" t="s">
        <v>22</v>
      </c>
      <c r="B6">
        <v>0.55745</v>
      </c>
      <c r="C6">
        <f>MAX(B6:B8)</f>
        <v>0.56618000000000002</v>
      </c>
    </row>
    <row r="7" spans="1:3" x14ac:dyDescent="0.25">
      <c r="A7" t="s">
        <v>22</v>
      </c>
      <c r="B7">
        <v>0.56489999999999996</v>
      </c>
    </row>
    <row r="8" spans="1:3" x14ac:dyDescent="0.25">
      <c r="A8" t="s">
        <v>22</v>
      </c>
      <c r="B8">
        <v>0.56618000000000002</v>
      </c>
    </row>
    <row r="9" spans="1:3" x14ac:dyDescent="0.25">
      <c r="A9" t="s">
        <v>23</v>
      </c>
      <c r="B9">
        <v>0.47383999999999998</v>
      </c>
      <c r="C9">
        <f>MAX(B9:B11)</f>
        <v>0.47383999999999998</v>
      </c>
    </row>
    <row r="10" spans="1:3" x14ac:dyDescent="0.25">
      <c r="A10" t="s">
        <v>23</v>
      </c>
      <c r="B10">
        <v>0.46977000000000002</v>
      </c>
    </row>
    <row r="11" spans="1:3" x14ac:dyDescent="0.25">
      <c r="A11" t="s">
        <v>23</v>
      </c>
      <c r="B11">
        <v>0.44077</v>
      </c>
    </row>
    <row r="12" spans="1:3" x14ac:dyDescent="0.25">
      <c r="A12" t="s">
        <v>24</v>
      </c>
      <c r="B12">
        <v>0.50119000000000002</v>
      </c>
      <c r="C12">
        <f>MAX(B12:B13)</f>
        <v>0.50119000000000002</v>
      </c>
    </row>
    <row r="13" spans="1:3" x14ac:dyDescent="0.25">
      <c r="A13" t="s">
        <v>24</v>
      </c>
      <c r="B13">
        <v>0.41348000000000001</v>
      </c>
    </row>
    <row r="14" spans="1:3" x14ac:dyDescent="0.25">
      <c r="A14" t="s">
        <v>25</v>
      </c>
      <c r="B14">
        <v>0.48381000000000002</v>
      </c>
      <c r="C14">
        <f>MAX(B14:B15)</f>
        <v>0.49658000000000002</v>
      </c>
    </row>
    <row r="15" spans="1:3" x14ac:dyDescent="0.25">
      <c r="A15" t="s">
        <v>25</v>
      </c>
      <c r="B15">
        <v>0.49658000000000002</v>
      </c>
    </row>
    <row r="16" spans="1:3" x14ac:dyDescent="0.25">
      <c r="A16" t="s">
        <v>15</v>
      </c>
      <c r="B16">
        <v>0.46695999999999999</v>
      </c>
      <c r="C16">
        <f>MAX(B16:B19)</f>
        <v>0.47960000000000003</v>
      </c>
    </row>
    <row r="17" spans="1:3" x14ac:dyDescent="0.25">
      <c r="A17" t="s">
        <v>15</v>
      </c>
      <c r="B17">
        <v>0.47960000000000003</v>
      </c>
    </row>
    <row r="18" spans="1:3" x14ac:dyDescent="0.25">
      <c r="A18" t="s">
        <v>15</v>
      </c>
      <c r="B18">
        <v>0.47815000000000002</v>
      </c>
    </row>
    <row r="19" spans="1:3" x14ac:dyDescent="0.25">
      <c r="A19" t="s">
        <v>15</v>
      </c>
      <c r="B19">
        <v>0.42636000000000002</v>
      </c>
    </row>
    <row r="20" spans="1:3" x14ac:dyDescent="0.25">
      <c r="A20" t="s">
        <v>26</v>
      </c>
      <c r="B20">
        <v>0.51495000000000002</v>
      </c>
      <c r="C20">
        <f>MAX(B20:B23)</f>
        <v>0.51910000000000001</v>
      </c>
    </row>
    <row r="21" spans="1:3" x14ac:dyDescent="0.25">
      <c r="A21" t="s">
        <v>26</v>
      </c>
      <c r="B21">
        <v>0.51861999999999997</v>
      </c>
    </row>
    <row r="22" spans="1:3" x14ac:dyDescent="0.25">
      <c r="A22" t="s">
        <v>26</v>
      </c>
      <c r="B22">
        <v>0.51910000000000001</v>
      </c>
    </row>
    <row r="23" spans="1:3" x14ac:dyDescent="0.25">
      <c r="A23" t="s">
        <v>26</v>
      </c>
      <c r="B23">
        <v>0.51822000000000001</v>
      </c>
    </row>
    <row r="24" spans="1:3" x14ac:dyDescent="0.25">
      <c r="A24" t="s">
        <v>14</v>
      </c>
      <c r="B24">
        <v>0.43720999999999999</v>
      </c>
      <c r="C24">
        <f>MAX(B24:B25)</f>
        <v>0.43720999999999999</v>
      </c>
    </row>
    <row r="25" spans="1:3" x14ac:dyDescent="0.25">
      <c r="A25" t="s">
        <v>14</v>
      </c>
      <c r="B25">
        <v>0.42781999999999998</v>
      </c>
    </row>
    <row r="26" spans="1:3" x14ac:dyDescent="0.25">
      <c r="A26" t="s">
        <v>27</v>
      </c>
      <c r="B26">
        <v>0.45831</v>
      </c>
      <c r="C26">
        <f>MAX(B26:B29)</f>
        <v>0.47666999999999998</v>
      </c>
    </row>
    <row r="27" spans="1:3" x14ac:dyDescent="0.25">
      <c r="A27" t="s">
        <v>27</v>
      </c>
      <c r="B27">
        <v>0.41425000000000001</v>
      </c>
    </row>
    <row r="28" spans="1:3" x14ac:dyDescent="0.25">
      <c r="A28" t="s">
        <v>27</v>
      </c>
      <c r="B28">
        <v>0.47589999999999999</v>
      </c>
    </row>
    <row r="29" spans="1:3" x14ac:dyDescent="0.25">
      <c r="A29" t="s">
        <v>27</v>
      </c>
      <c r="B29">
        <v>0.47666999999999998</v>
      </c>
    </row>
    <row r="30" spans="1:3" x14ac:dyDescent="0.25">
      <c r="A30" t="s">
        <v>16</v>
      </c>
      <c r="B30">
        <v>0.48171000000000003</v>
      </c>
      <c r="C30">
        <f>MAX(B30:B33)</f>
        <v>0.53641000000000005</v>
      </c>
    </row>
    <row r="31" spans="1:3" x14ac:dyDescent="0.25">
      <c r="A31" t="s">
        <v>16</v>
      </c>
      <c r="B31">
        <v>0.48127999999999999</v>
      </c>
    </row>
    <row r="32" spans="1:3" x14ac:dyDescent="0.25">
      <c r="A32" t="s">
        <v>16</v>
      </c>
      <c r="B32">
        <v>0.53117999999999999</v>
      </c>
    </row>
    <row r="33" spans="1:3" x14ac:dyDescent="0.25">
      <c r="A33" t="s">
        <v>16</v>
      </c>
      <c r="B33">
        <v>0.53641000000000005</v>
      </c>
    </row>
    <row r="34" spans="1:3" x14ac:dyDescent="0.25">
      <c r="A34" t="s">
        <v>28</v>
      </c>
      <c r="B34">
        <v>0.47381000000000001</v>
      </c>
      <c r="C34">
        <f>MAX(B34:B36)</f>
        <v>0.47381000000000001</v>
      </c>
    </row>
    <row r="35" spans="1:3" x14ac:dyDescent="0.25">
      <c r="A35" t="s">
        <v>28</v>
      </c>
      <c r="B35">
        <v>0.47099000000000002</v>
      </c>
    </row>
    <row r="36" spans="1:3" x14ac:dyDescent="0.25">
      <c r="A36" t="s">
        <v>28</v>
      </c>
      <c r="B36">
        <v>0.44855</v>
      </c>
    </row>
    <row r="37" spans="1:3" x14ac:dyDescent="0.25">
      <c r="A37" t="s">
        <v>29</v>
      </c>
      <c r="B37">
        <v>0.48259000000000002</v>
      </c>
      <c r="C37">
        <f>MAX(B37:B38)</f>
        <v>0.49945000000000001</v>
      </c>
    </row>
    <row r="38" spans="1:3" x14ac:dyDescent="0.25">
      <c r="A38" t="s">
        <v>29</v>
      </c>
      <c r="B38">
        <v>0.49945000000000001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0.54093000000000002</v>
      </c>
      <c r="C2">
        <f>MAX(B2:B3)</f>
        <v>0.54093000000000002</v>
      </c>
    </row>
    <row r="3" spans="1:3" x14ac:dyDescent="0.25">
      <c r="A3" t="s">
        <v>13</v>
      </c>
      <c r="B3">
        <v>0.50585000000000002</v>
      </c>
    </row>
    <row r="4" spans="1:3" x14ac:dyDescent="0.25">
      <c r="A4" t="s">
        <v>22</v>
      </c>
      <c r="B4">
        <v>0.51951999999999998</v>
      </c>
      <c r="C4">
        <f>MAX(B4:B7)</f>
        <v>0.53190999999999999</v>
      </c>
    </row>
    <row r="5" spans="1:3" x14ac:dyDescent="0.25">
      <c r="A5" t="s">
        <v>22</v>
      </c>
      <c r="B5">
        <v>0.53190999999999999</v>
      </c>
    </row>
    <row r="6" spans="1:3" x14ac:dyDescent="0.25">
      <c r="A6" t="s">
        <v>22</v>
      </c>
      <c r="B6">
        <v>0.52966000000000002</v>
      </c>
    </row>
    <row r="7" spans="1:3" x14ac:dyDescent="0.25">
      <c r="A7" t="s">
        <v>22</v>
      </c>
      <c r="B7">
        <v>0.52924000000000004</v>
      </c>
    </row>
    <row r="8" spans="1:3" x14ac:dyDescent="0.25">
      <c r="A8" t="s">
        <v>23</v>
      </c>
      <c r="B8">
        <v>0.52049999999999996</v>
      </c>
      <c r="C8">
        <f>MAX(B8:B10)</f>
        <v>0.52542999999999995</v>
      </c>
    </row>
    <row r="9" spans="1:3" x14ac:dyDescent="0.25">
      <c r="A9" t="s">
        <v>23</v>
      </c>
      <c r="B9">
        <v>0.52542999999999995</v>
      </c>
    </row>
    <row r="10" spans="1:3" x14ac:dyDescent="0.25">
      <c r="A10" t="s">
        <v>23</v>
      </c>
      <c r="B10">
        <v>0.52431000000000005</v>
      </c>
    </row>
    <row r="11" spans="1:3" x14ac:dyDescent="0.25">
      <c r="A11" t="s">
        <v>24</v>
      </c>
      <c r="B11">
        <v>0.50183</v>
      </c>
      <c r="C11">
        <f>MAX(B11:B13)</f>
        <v>0.50183</v>
      </c>
    </row>
    <row r="12" spans="1:3" x14ac:dyDescent="0.25">
      <c r="A12" t="s">
        <v>24</v>
      </c>
      <c r="B12">
        <v>0.46189000000000002</v>
      </c>
    </row>
    <row r="13" spans="1:3" x14ac:dyDescent="0.25">
      <c r="A13" t="s">
        <v>24</v>
      </c>
      <c r="B13">
        <v>0.49682999999999999</v>
      </c>
    </row>
    <row r="14" spans="1:3" x14ac:dyDescent="0.25">
      <c r="A14" t="s">
        <v>25</v>
      </c>
      <c r="B14">
        <v>0.50183</v>
      </c>
      <c r="C14">
        <f>MAX(B14:B16)</f>
        <v>0.50183</v>
      </c>
    </row>
    <row r="15" spans="1:3" x14ac:dyDescent="0.25">
      <c r="A15" t="s">
        <v>25</v>
      </c>
      <c r="B15">
        <v>0.47619</v>
      </c>
    </row>
    <row r="16" spans="1:3" x14ac:dyDescent="0.25">
      <c r="A16" t="s">
        <v>25</v>
      </c>
      <c r="B16">
        <v>0.49084</v>
      </c>
    </row>
    <row r="17" spans="1:3" x14ac:dyDescent="0.25">
      <c r="A17" t="s">
        <v>15</v>
      </c>
      <c r="B17">
        <v>0.50007000000000001</v>
      </c>
      <c r="C17">
        <f>MAX(B17:B18)</f>
        <v>0.50344999999999995</v>
      </c>
    </row>
    <row r="18" spans="1:3" x14ac:dyDescent="0.25">
      <c r="A18" t="s">
        <v>15</v>
      </c>
      <c r="B18">
        <v>0.50344999999999995</v>
      </c>
    </row>
    <row r="19" spans="1:3" x14ac:dyDescent="0.25">
      <c r="A19" t="s">
        <v>26</v>
      </c>
      <c r="B19">
        <v>0.50726000000000004</v>
      </c>
      <c r="C19">
        <f>MAX(B19:B20)</f>
        <v>0.50726000000000004</v>
      </c>
    </row>
    <row r="20" spans="1:3" x14ac:dyDescent="0.25">
      <c r="A20" t="s">
        <v>26</v>
      </c>
      <c r="B20">
        <v>0.48048000000000002</v>
      </c>
    </row>
    <row r="21" spans="1:3" x14ac:dyDescent="0.25">
      <c r="A21" t="s">
        <v>14</v>
      </c>
      <c r="B21">
        <v>0.52669999999999995</v>
      </c>
      <c r="C21">
        <f>MAX(B21:B23)</f>
        <v>0.53417000000000003</v>
      </c>
    </row>
    <row r="22" spans="1:3" x14ac:dyDescent="0.25">
      <c r="A22" t="s">
        <v>14</v>
      </c>
      <c r="B22">
        <v>0.53036000000000005</v>
      </c>
    </row>
    <row r="23" spans="1:3" x14ac:dyDescent="0.25">
      <c r="A23" t="s">
        <v>14</v>
      </c>
      <c r="B23">
        <v>0.53417000000000003</v>
      </c>
    </row>
    <row r="24" spans="1:3" x14ac:dyDescent="0.25">
      <c r="A24" t="s">
        <v>27</v>
      </c>
      <c r="B24">
        <v>0.51853000000000005</v>
      </c>
      <c r="C24">
        <f>MAX(B24:B26)</f>
        <v>0.51853000000000005</v>
      </c>
    </row>
    <row r="25" spans="1:3" x14ac:dyDescent="0.25">
      <c r="A25" t="s">
        <v>27</v>
      </c>
      <c r="B25">
        <v>0.51726000000000005</v>
      </c>
    </row>
    <row r="26" spans="1:3" x14ac:dyDescent="0.25">
      <c r="A26" t="s">
        <v>27</v>
      </c>
      <c r="B26">
        <v>0.49556</v>
      </c>
    </row>
    <row r="27" spans="1:3" x14ac:dyDescent="0.25">
      <c r="A27" t="s">
        <v>16</v>
      </c>
      <c r="B27">
        <v>0.53205999999999998</v>
      </c>
      <c r="C27">
        <f>MAX(B27:B29)</f>
        <v>0.58291999999999999</v>
      </c>
    </row>
    <row r="28" spans="1:3" x14ac:dyDescent="0.25">
      <c r="A28" t="s">
        <v>16</v>
      </c>
      <c r="B28">
        <v>0.56559000000000004</v>
      </c>
    </row>
    <row r="29" spans="1:3" x14ac:dyDescent="0.25">
      <c r="A29" t="s">
        <v>16</v>
      </c>
      <c r="B29">
        <v>0.58291999999999999</v>
      </c>
    </row>
    <row r="30" spans="1:3" x14ac:dyDescent="0.25">
      <c r="A30" t="s">
        <v>28</v>
      </c>
      <c r="B30">
        <v>0.48837999999999998</v>
      </c>
      <c r="C30">
        <f>MAX(B30:B32)</f>
        <v>0.49569999999999997</v>
      </c>
    </row>
    <row r="31" spans="1:3" x14ac:dyDescent="0.25">
      <c r="A31" t="s">
        <v>28</v>
      </c>
      <c r="B31">
        <v>0.47089999999999999</v>
      </c>
    </row>
    <row r="32" spans="1:3" x14ac:dyDescent="0.25">
      <c r="A32" t="s">
        <v>28</v>
      </c>
      <c r="B32">
        <v>0.49569999999999997</v>
      </c>
    </row>
    <row r="33" spans="1:3" x14ac:dyDescent="0.25">
      <c r="A33" t="s">
        <v>29</v>
      </c>
      <c r="B33">
        <v>0.54615000000000002</v>
      </c>
      <c r="C33">
        <f>MAX(B33:B35)</f>
        <v>0.55686000000000002</v>
      </c>
    </row>
    <row r="34" spans="1:3" x14ac:dyDescent="0.25">
      <c r="A34" t="s">
        <v>29</v>
      </c>
      <c r="B34">
        <v>0.55318999999999996</v>
      </c>
    </row>
    <row r="35" spans="1:3" x14ac:dyDescent="0.25">
      <c r="A35" t="s">
        <v>29</v>
      </c>
      <c r="B35">
        <v>0.55686000000000002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0.68010999999999999</v>
      </c>
      <c r="C2">
        <f>MAX(B2:B5)</f>
        <v>0.68383000000000005</v>
      </c>
    </row>
    <row r="3" spans="1:3" x14ac:dyDescent="0.25">
      <c r="A3" t="s">
        <v>13</v>
      </c>
      <c r="B3">
        <v>0.68383000000000005</v>
      </c>
    </row>
    <row r="4" spans="1:3" x14ac:dyDescent="0.25">
      <c r="A4" t="s">
        <v>13</v>
      </c>
      <c r="B4">
        <v>0.67630999999999997</v>
      </c>
    </row>
    <row r="5" spans="1:3" x14ac:dyDescent="0.25">
      <c r="A5" t="s">
        <v>13</v>
      </c>
      <c r="B5">
        <v>0.68213999999999997</v>
      </c>
    </row>
    <row r="6" spans="1:3" x14ac:dyDescent="0.25">
      <c r="A6" t="s">
        <v>22</v>
      </c>
      <c r="B6">
        <v>0.66056000000000004</v>
      </c>
      <c r="C6">
        <f>MAX(B6:B8)</f>
        <v>0.66883000000000004</v>
      </c>
    </row>
    <row r="7" spans="1:3" x14ac:dyDescent="0.25">
      <c r="A7" t="s">
        <v>22</v>
      </c>
      <c r="B7">
        <v>0.66861000000000004</v>
      </c>
    </row>
    <row r="8" spans="1:3" x14ac:dyDescent="0.25">
      <c r="A8" t="s">
        <v>22</v>
      </c>
      <c r="B8">
        <v>0.66883000000000004</v>
      </c>
    </row>
    <row r="9" spans="1:3" x14ac:dyDescent="0.25">
      <c r="A9" t="s">
        <v>23</v>
      </c>
      <c r="B9">
        <v>0.62133000000000005</v>
      </c>
      <c r="C9">
        <f>MAX(B9:B10)</f>
        <v>0.65583000000000002</v>
      </c>
    </row>
    <row r="10" spans="1:3" x14ac:dyDescent="0.25">
      <c r="A10" t="s">
        <v>23</v>
      </c>
      <c r="B10">
        <v>0.65583000000000002</v>
      </c>
    </row>
    <row r="11" spans="1:3" x14ac:dyDescent="0.25">
      <c r="A11" t="s">
        <v>24</v>
      </c>
      <c r="B11">
        <v>0.54978000000000005</v>
      </c>
      <c r="C11">
        <f>MAX(B11:B13)</f>
        <v>0.56933</v>
      </c>
    </row>
    <row r="12" spans="1:3" x14ac:dyDescent="0.25">
      <c r="A12" t="s">
        <v>24</v>
      </c>
      <c r="B12">
        <v>0.56760999999999995</v>
      </c>
    </row>
    <row r="13" spans="1:3" x14ac:dyDescent="0.25">
      <c r="A13" t="s">
        <v>24</v>
      </c>
      <c r="B13">
        <v>0.56933</v>
      </c>
    </row>
    <row r="14" spans="1:3" x14ac:dyDescent="0.25">
      <c r="A14" t="s">
        <v>25</v>
      </c>
      <c r="B14">
        <v>0.48764000000000002</v>
      </c>
      <c r="C14">
        <f>MAX(B14:B17)</f>
        <v>0.56138999999999994</v>
      </c>
    </row>
    <row r="15" spans="1:3" x14ac:dyDescent="0.25">
      <c r="A15" t="s">
        <v>25</v>
      </c>
      <c r="B15">
        <v>0.54483000000000004</v>
      </c>
    </row>
    <row r="16" spans="1:3" x14ac:dyDescent="0.25">
      <c r="A16" t="s">
        <v>25</v>
      </c>
      <c r="B16">
        <v>0.54805999999999999</v>
      </c>
    </row>
    <row r="17" spans="1:3" x14ac:dyDescent="0.25">
      <c r="A17" t="s">
        <v>25</v>
      </c>
      <c r="B17">
        <v>0.56138999999999994</v>
      </c>
    </row>
    <row r="18" spans="1:3" x14ac:dyDescent="0.25">
      <c r="A18" t="s">
        <v>15</v>
      </c>
      <c r="B18">
        <v>0.48566999999999999</v>
      </c>
      <c r="C18">
        <f>MAX(B18:B20)</f>
        <v>0.56906000000000001</v>
      </c>
    </row>
    <row r="19" spans="1:3" x14ac:dyDescent="0.25">
      <c r="A19" t="s">
        <v>15</v>
      </c>
      <c r="B19">
        <v>0.56521999999999994</v>
      </c>
    </row>
    <row r="20" spans="1:3" x14ac:dyDescent="0.25">
      <c r="A20" t="s">
        <v>15</v>
      </c>
      <c r="B20">
        <v>0.56906000000000001</v>
      </c>
    </row>
    <row r="21" spans="1:3" x14ac:dyDescent="0.25">
      <c r="A21" t="s">
        <v>26</v>
      </c>
      <c r="B21">
        <v>0.58743999999999996</v>
      </c>
      <c r="C21">
        <f>MAX(B21:B24)</f>
        <v>0.60592000000000001</v>
      </c>
    </row>
    <row r="22" spans="1:3" x14ac:dyDescent="0.25">
      <c r="A22" t="s">
        <v>26</v>
      </c>
      <c r="B22">
        <v>0.60592000000000001</v>
      </c>
    </row>
    <row r="23" spans="1:3" x14ac:dyDescent="0.25">
      <c r="A23" t="s">
        <v>26</v>
      </c>
      <c r="B23">
        <v>0.60472000000000004</v>
      </c>
    </row>
    <row r="24" spans="1:3" x14ac:dyDescent="0.25">
      <c r="A24" t="s">
        <v>26</v>
      </c>
      <c r="B24">
        <v>0.59699999999999998</v>
      </c>
    </row>
    <row r="25" spans="1:3" x14ac:dyDescent="0.25">
      <c r="A25" t="s">
        <v>14</v>
      </c>
      <c r="B25">
        <v>0.74978</v>
      </c>
      <c r="C25">
        <f>MAX(B25:B27)</f>
        <v>0.75566999999999995</v>
      </c>
    </row>
    <row r="26" spans="1:3" x14ac:dyDescent="0.25">
      <c r="A26" t="s">
        <v>14</v>
      </c>
      <c r="B26">
        <v>0.75217000000000001</v>
      </c>
    </row>
    <row r="27" spans="1:3" x14ac:dyDescent="0.25">
      <c r="A27" t="s">
        <v>14</v>
      </c>
      <c r="B27">
        <v>0.75566999999999995</v>
      </c>
    </row>
    <row r="28" spans="1:3" x14ac:dyDescent="0.25">
      <c r="A28" t="s">
        <v>27</v>
      </c>
      <c r="B28">
        <v>0.52010999999999996</v>
      </c>
      <c r="C28">
        <f>MAX(B28:B31)</f>
        <v>0.55693999999999999</v>
      </c>
    </row>
    <row r="29" spans="1:3" x14ac:dyDescent="0.25">
      <c r="A29" t="s">
        <v>27</v>
      </c>
      <c r="B29">
        <v>0.54117000000000004</v>
      </c>
    </row>
    <row r="30" spans="1:3" x14ac:dyDescent="0.25">
      <c r="A30" t="s">
        <v>27</v>
      </c>
      <c r="B30">
        <v>0.55393999999999999</v>
      </c>
    </row>
    <row r="31" spans="1:3" x14ac:dyDescent="0.25">
      <c r="A31" t="s">
        <v>27</v>
      </c>
      <c r="B31">
        <v>0.55693999999999999</v>
      </c>
    </row>
    <row r="32" spans="1:3" x14ac:dyDescent="0.25">
      <c r="A32" t="s">
        <v>16</v>
      </c>
      <c r="B32">
        <v>0.66439000000000004</v>
      </c>
      <c r="C32">
        <f>MAX(B32:B35)</f>
        <v>0.72055999999999998</v>
      </c>
    </row>
    <row r="33" spans="1:3" x14ac:dyDescent="0.25">
      <c r="A33" t="s">
        <v>16</v>
      </c>
      <c r="B33">
        <v>0.71494000000000002</v>
      </c>
    </row>
    <row r="34" spans="1:3" x14ac:dyDescent="0.25">
      <c r="A34" t="s">
        <v>16</v>
      </c>
      <c r="B34">
        <v>0.72055999999999998</v>
      </c>
    </row>
    <row r="35" spans="1:3" x14ac:dyDescent="0.25">
      <c r="A35" t="s">
        <v>16</v>
      </c>
      <c r="B35">
        <v>0.70011000000000001</v>
      </c>
    </row>
    <row r="36" spans="1:3" x14ac:dyDescent="0.25">
      <c r="A36" t="s">
        <v>28</v>
      </c>
      <c r="B36">
        <v>0.54471999999999998</v>
      </c>
      <c r="C36">
        <f>MAX(B36:B39)</f>
        <v>0.55967</v>
      </c>
    </row>
    <row r="37" spans="1:3" x14ac:dyDescent="0.25">
      <c r="A37" t="s">
        <v>28</v>
      </c>
      <c r="B37">
        <v>0.55967</v>
      </c>
    </row>
    <row r="38" spans="1:3" x14ac:dyDescent="0.25">
      <c r="A38" t="s">
        <v>28</v>
      </c>
      <c r="B38">
        <v>0.54881000000000002</v>
      </c>
    </row>
    <row r="39" spans="1:3" x14ac:dyDescent="0.25">
      <c r="A39" t="s">
        <v>28</v>
      </c>
      <c r="B39">
        <v>0.55528</v>
      </c>
    </row>
    <row r="40" spans="1:3" x14ac:dyDescent="0.25">
      <c r="A40" t="s">
        <v>29</v>
      </c>
      <c r="B40">
        <v>0.70977999999999997</v>
      </c>
      <c r="C40">
        <f>MAX(B40:B43)</f>
        <v>0.71682999999999997</v>
      </c>
    </row>
    <row r="41" spans="1:3" x14ac:dyDescent="0.25">
      <c r="A41" t="s">
        <v>29</v>
      </c>
      <c r="B41">
        <v>0.71150000000000002</v>
      </c>
    </row>
    <row r="42" spans="1:3" x14ac:dyDescent="0.25">
      <c r="A42" t="s">
        <v>29</v>
      </c>
      <c r="B42">
        <v>0.71011000000000002</v>
      </c>
    </row>
    <row r="43" spans="1:3" x14ac:dyDescent="0.25">
      <c r="A43" t="s">
        <v>29</v>
      </c>
      <c r="B43">
        <v>0.71682999999999997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0.84877999999999998</v>
      </c>
      <c r="C2">
        <f>MAX(B2:B4)</f>
        <v>0.87480000000000002</v>
      </c>
    </row>
    <row r="3" spans="1:3" x14ac:dyDescent="0.25">
      <c r="A3" t="s">
        <v>13</v>
      </c>
      <c r="B3">
        <v>0.86938000000000004</v>
      </c>
    </row>
    <row r="4" spans="1:3" x14ac:dyDescent="0.25">
      <c r="A4" t="s">
        <v>13</v>
      </c>
      <c r="B4">
        <v>0.87480000000000002</v>
      </c>
    </row>
    <row r="5" spans="1:3" x14ac:dyDescent="0.25">
      <c r="A5" t="s">
        <v>22</v>
      </c>
      <c r="B5">
        <v>0.88319999999999999</v>
      </c>
      <c r="C5">
        <f>MAX(B5:B6)</f>
        <v>0.88319999999999999</v>
      </c>
    </row>
    <row r="6" spans="1:3" x14ac:dyDescent="0.25">
      <c r="A6" t="s">
        <v>22</v>
      </c>
      <c r="B6">
        <v>0.86775000000000002</v>
      </c>
    </row>
    <row r="7" spans="1:3" x14ac:dyDescent="0.25">
      <c r="A7" t="s">
        <v>23</v>
      </c>
      <c r="B7">
        <v>0.67642000000000002</v>
      </c>
      <c r="C7">
        <f>MAX(B7:B9)</f>
        <v>0.86667000000000005</v>
      </c>
    </row>
    <row r="8" spans="1:3" x14ac:dyDescent="0.25">
      <c r="A8" t="s">
        <v>23</v>
      </c>
      <c r="B8">
        <v>0.58808000000000005</v>
      </c>
    </row>
    <row r="9" spans="1:3" x14ac:dyDescent="0.25">
      <c r="A9" t="s">
        <v>23</v>
      </c>
      <c r="B9">
        <v>0.86667000000000005</v>
      </c>
    </row>
    <row r="10" spans="1:3" x14ac:dyDescent="0.25">
      <c r="A10" t="s">
        <v>24</v>
      </c>
      <c r="B10">
        <v>0.64173000000000002</v>
      </c>
      <c r="C10">
        <f>MAX(B10:B11)</f>
        <v>0.86504000000000003</v>
      </c>
    </row>
    <row r="11" spans="1:3" x14ac:dyDescent="0.25">
      <c r="A11" t="s">
        <v>24</v>
      </c>
      <c r="B11">
        <v>0.86504000000000003</v>
      </c>
    </row>
    <row r="12" spans="1:3" x14ac:dyDescent="0.25">
      <c r="A12" t="s">
        <v>25</v>
      </c>
      <c r="B12">
        <v>0.67317000000000005</v>
      </c>
      <c r="C12">
        <f>MAX(B12:B14)</f>
        <v>0.83957000000000004</v>
      </c>
    </row>
    <row r="13" spans="1:3" x14ac:dyDescent="0.25">
      <c r="A13" t="s">
        <v>25</v>
      </c>
      <c r="B13">
        <v>0.61761999999999995</v>
      </c>
    </row>
    <row r="14" spans="1:3" x14ac:dyDescent="0.25">
      <c r="A14" t="s">
        <v>25</v>
      </c>
      <c r="B14">
        <v>0.83957000000000004</v>
      </c>
    </row>
    <row r="15" spans="1:3" x14ac:dyDescent="0.25">
      <c r="A15" t="s">
        <v>15</v>
      </c>
      <c r="B15">
        <v>0.58699000000000001</v>
      </c>
      <c r="C15">
        <f>MAX(B15:B17)</f>
        <v>0.77886</v>
      </c>
    </row>
    <row r="16" spans="1:3" x14ac:dyDescent="0.25">
      <c r="A16" t="s">
        <v>15</v>
      </c>
      <c r="B16">
        <v>0.73333000000000004</v>
      </c>
    </row>
    <row r="17" spans="1:3" x14ac:dyDescent="0.25">
      <c r="A17" t="s">
        <v>15</v>
      </c>
      <c r="B17">
        <v>0.77886</v>
      </c>
    </row>
    <row r="18" spans="1:3" x14ac:dyDescent="0.25">
      <c r="A18" t="s">
        <v>26</v>
      </c>
      <c r="B18">
        <v>0.5393</v>
      </c>
      <c r="C18">
        <f>MAX(B18:B21)</f>
        <v>0.72926999999999997</v>
      </c>
    </row>
    <row r="19" spans="1:3" x14ac:dyDescent="0.25">
      <c r="A19" t="s">
        <v>26</v>
      </c>
      <c r="B19">
        <v>0.55501</v>
      </c>
    </row>
    <row r="20" spans="1:3" x14ac:dyDescent="0.25">
      <c r="A20" t="s">
        <v>26</v>
      </c>
      <c r="B20">
        <v>0.72926999999999997</v>
      </c>
    </row>
    <row r="21" spans="1:3" x14ac:dyDescent="0.25">
      <c r="A21" t="s">
        <v>26</v>
      </c>
      <c r="B21">
        <v>0.71220000000000006</v>
      </c>
    </row>
    <row r="22" spans="1:3" x14ac:dyDescent="0.25">
      <c r="A22" t="s">
        <v>14</v>
      </c>
      <c r="B22">
        <v>0.78861999999999999</v>
      </c>
      <c r="C22">
        <f>MAX(B22:B24)</f>
        <v>0.85799000000000003</v>
      </c>
    </row>
    <row r="23" spans="1:3" x14ac:dyDescent="0.25">
      <c r="A23" t="s">
        <v>14</v>
      </c>
      <c r="B23">
        <v>0.84714999999999996</v>
      </c>
    </row>
    <row r="24" spans="1:3" x14ac:dyDescent="0.25">
      <c r="A24" t="s">
        <v>14</v>
      </c>
      <c r="B24">
        <v>0.85799000000000003</v>
      </c>
    </row>
    <row r="25" spans="1:3" x14ac:dyDescent="0.25">
      <c r="A25" t="s">
        <v>27</v>
      </c>
      <c r="B25">
        <v>0.50678000000000001</v>
      </c>
      <c r="C25">
        <f>MAX(B25:B27)</f>
        <v>0.74200999999999995</v>
      </c>
    </row>
    <row r="26" spans="1:3" x14ac:dyDescent="0.25">
      <c r="A26" t="s">
        <v>27</v>
      </c>
      <c r="B26">
        <v>0.71762000000000004</v>
      </c>
    </row>
    <row r="27" spans="1:3" x14ac:dyDescent="0.25">
      <c r="A27" t="s">
        <v>27</v>
      </c>
      <c r="B27">
        <v>0.74200999999999995</v>
      </c>
    </row>
    <row r="28" spans="1:3" x14ac:dyDescent="0.25">
      <c r="A28" t="s">
        <v>16</v>
      </c>
      <c r="B28">
        <v>0.65256999999999998</v>
      </c>
      <c r="C28">
        <f>MAX(B28:B31)</f>
        <v>0.90351999999999999</v>
      </c>
    </row>
    <row r="29" spans="1:3" x14ac:dyDescent="0.25">
      <c r="A29" t="s">
        <v>16</v>
      </c>
      <c r="B29">
        <v>0.60487999999999997</v>
      </c>
    </row>
    <row r="30" spans="1:3" x14ac:dyDescent="0.25">
      <c r="A30" t="s">
        <v>16</v>
      </c>
      <c r="B30">
        <v>0.62385000000000002</v>
      </c>
    </row>
    <row r="31" spans="1:3" x14ac:dyDescent="0.25">
      <c r="A31" t="s">
        <v>16</v>
      </c>
      <c r="B31">
        <v>0.90351999999999999</v>
      </c>
    </row>
    <row r="32" spans="1:3" x14ac:dyDescent="0.25">
      <c r="A32" t="s">
        <v>28</v>
      </c>
      <c r="B32">
        <v>0.69621</v>
      </c>
      <c r="C32">
        <f>MAX(B32:B34)</f>
        <v>0.80379</v>
      </c>
    </row>
    <row r="33" spans="1:3" x14ac:dyDescent="0.25">
      <c r="A33" t="s">
        <v>28</v>
      </c>
      <c r="B33">
        <v>0.74958999999999998</v>
      </c>
    </row>
    <row r="34" spans="1:3" x14ac:dyDescent="0.25">
      <c r="A34" t="s">
        <v>28</v>
      </c>
      <c r="B34">
        <v>0.80379</v>
      </c>
    </row>
    <row r="35" spans="1:3" x14ac:dyDescent="0.25">
      <c r="A35" t="s">
        <v>29</v>
      </c>
      <c r="B35">
        <v>0.61680000000000001</v>
      </c>
      <c r="C35">
        <f>MAX(B35:B37)</f>
        <v>0.89539000000000002</v>
      </c>
    </row>
    <row r="36" spans="1:3" x14ac:dyDescent="0.25">
      <c r="A36" t="s">
        <v>29</v>
      </c>
      <c r="B36">
        <v>0.87858999999999998</v>
      </c>
    </row>
    <row r="37" spans="1:3" x14ac:dyDescent="0.25">
      <c r="A37" t="s">
        <v>29</v>
      </c>
      <c r="B37">
        <v>0.89539000000000002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0.78588000000000002</v>
      </c>
      <c r="C2">
        <f>MAX(B2:B4)</f>
        <v>0.78588000000000002</v>
      </c>
    </row>
    <row r="3" spans="1:3" x14ac:dyDescent="0.25">
      <c r="A3" t="s">
        <v>13</v>
      </c>
      <c r="B3">
        <v>0.77842</v>
      </c>
    </row>
    <row r="4" spans="1:3" x14ac:dyDescent="0.25">
      <c r="A4" t="s">
        <v>13</v>
      </c>
      <c r="B4">
        <v>0.77612000000000003</v>
      </c>
    </row>
    <row r="5" spans="1:3" x14ac:dyDescent="0.25">
      <c r="A5" t="s">
        <v>22</v>
      </c>
      <c r="B5">
        <v>0.69116</v>
      </c>
      <c r="C5">
        <f>MAX(B5:B7)</f>
        <v>0.74856</v>
      </c>
    </row>
    <row r="6" spans="1:3" x14ac:dyDescent="0.25">
      <c r="A6" t="s">
        <v>22</v>
      </c>
      <c r="B6">
        <v>0.74856</v>
      </c>
    </row>
    <row r="7" spans="1:3" x14ac:dyDescent="0.25">
      <c r="A7" t="s">
        <v>22</v>
      </c>
      <c r="B7">
        <v>0.74168000000000001</v>
      </c>
    </row>
    <row r="8" spans="1:3" x14ac:dyDescent="0.25">
      <c r="A8" t="s">
        <v>23</v>
      </c>
      <c r="B8">
        <v>0.76693</v>
      </c>
      <c r="C8">
        <f>MAX(B8:B10)</f>
        <v>0.80367</v>
      </c>
    </row>
    <row r="9" spans="1:3" x14ac:dyDescent="0.25">
      <c r="A9" t="s">
        <v>23</v>
      </c>
      <c r="B9">
        <v>0.80023</v>
      </c>
    </row>
    <row r="10" spans="1:3" x14ac:dyDescent="0.25">
      <c r="A10" t="s">
        <v>23</v>
      </c>
      <c r="B10">
        <v>0.80367</v>
      </c>
    </row>
    <row r="11" spans="1:3" x14ac:dyDescent="0.25">
      <c r="A11" t="s">
        <v>24</v>
      </c>
      <c r="B11">
        <v>0.72789999999999999</v>
      </c>
      <c r="C11">
        <f>MAX(B11:B14)</f>
        <v>0.73823000000000005</v>
      </c>
    </row>
    <row r="12" spans="1:3" x14ac:dyDescent="0.25">
      <c r="A12" t="s">
        <v>24</v>
      </c>
      <c r="B12">
        <v>0.73363999999999996</v>
      </c>
    </row>
    <row r="13" spans="1:3" x14ac:dyDescent="0.25">
      <c r="A13" t="s">
        <v>24</v>
      </c>
      <c r="B13">
        <v>0.73823000000000005</v>
      </c>
    </row>
    <row r="14" spans="1:3" x14ac:dyDescent="0.25">
      <c r="A14" t="s">
        <v>24</v>
      </c>
      <c r="B14">
        <v>0.73823000000000005</v>
      </c>
    </row>
    <row r="15" spans="1:3" x14ac:dyDescent="0.25">
      <c r="A15" t="s">
        <v>25</v>
      </c>
      <c r="B15">
        <v>0.69230999999999998</v>
      </c>
      <c r="C15">
        <f>MAX(B15:B18)</f>
        <v>0.72331000000000001</v>
      </c>
    </row>
    <row r="16" spans="1:3" x14ac:dyDescent="0.25">
      <c r="A16" t="s">
        <v>25</v>
      </c>
      <c r="B16">
        <v>0.72331000000000001</v>
      </c>
    </row>
    <row r="17" spans="1:3" x14ac:dyDescent="0.25">
      <c r="A17" t="s">
        <v>25</v>
      </c>
      <c r="B17">
        <v>0.70665999999999995</v>
      </c>
    </row>
    <row r="18" spans="1:3" x14ac:dyDescent="0.25">
      <c r="A18" t="s">
        <v>25</v>
      </c>
      <c r="B18">
        <v>0.72272999999999998</v>
      </c>
    </row>
    <row r="19" spans="1:3" x14ac:dyDescent="0.25">
      <c r="A19" t="s">
        <v>15</v>
      </c>
      <c r="B19">
        <v>0.67393999999999998</v>
      </c>
      <c r="C19">
        <f>MAX(B19:B21)</f>
        <v>0.73823000000000005</v>
      </c>
    </row>
    <row r="20" spans="1:3" x14ac:dyDescent="0.25">
      <c r="A20" t="s">
        <v>15</v>
      </c>
      <c r="B20">
        <v>0.71641999999999995</v>
      </c>
    </row>
    <row r="21" spans="1:3" x14ac:dyDescent="0.25">
      <c r="A21" t="s">
        <v>15</v>
      </c>
      <c r="B21">
        <v>0.73823000000000005</v>
      </c>
    </row>
    <row r="22" spans="1:3" x14ac:dyDescent="0.25">
      <c r="A22" t="s">
        <v>26</v>
      </c>
      <c r="B22">
        <v>0.71584000000000003</v>
      </c>
      <c r="C22">
        <f>MAX(B22:B25)</f>
        <v>0.74970999999999999</v>
      </c>
    </row>
    <row r="23" spans="1:3" x14ac:dyDescent="0.25">
      <c r="A23" t="s">
        <v>26</v>
      </c>
      <c r="B23">
        <v>0.74339999999999995</v>
      </c>
    </row>
    <row r="24" spans="1:3" x14ac:dyDescent="0.25">
      <c r="A24" t="s">
        <v>26</v>
      </c>
      <c r="B24">
        <v>0.74455000000000005</v>
      </c>
    </row>
    <row r="25" spans="1:3" x14ac:dyDescent="0.25">
      <c r="A25" t="s">
        <v>26</v>
      </c>
      <c r="B25">
        <v>0.74970999999999999</v>
      </c>
    </row>
    <row r="26" spans="1:3" x14ac:dyDescent="0.25">
      <c r="A26" t="s">
        <v>14</v>
      </c>
      <c r="B26">
        <v>0.59126999999999996</v>
      </c>
      <c r="C26">
        <f>MAX(B26:B28)</f>
        <v>0.70952999999999999</v>
      </c>
    </row>
    <row r="27" spans="1:3" x14ac:dyDescent="0.25">
      <c r="A27" t="s">
        <v>14</v>
      </c>
      <c r="B27">
        <v>0.70952999999999999</v>
      </c>
    </row>
    <row r="28" spans="1:3" x14ac:dyDescent="0.25">
      <c r="A28" t="s">
        <v>14</v>
      </c>
      <c r="B28">
        <v>0.70838000000000001</v>
      </c>
    </row>
    <row r="29" spans="1:3" x14ac:dyDescent="0.25">
      <c r="A29" t="s">
        <v>27</v>
      </c>
      <c r="B29">
        <v>0.44890999999999998</v>
      </c>
      <c r="C29">
        <f>MAX(B29:B31)</f>
        <v>0.71182999999999996</v>
      </c>
    </row>
    <row r="30" spans="1:3" x14ac:dyDescent="0.25">
      <c r="A30" t="s">
        <v>27</v>
      </c>
      <c r="B30">
        <v>0.70608000000000004</v>
      </c>
    </row>
    <row r="31" spans="1:3" x14ac:dyDescent="0.25">
      <c r="A31" t="s">
        <v>27</v>
      </c>
      <c r="B31">
        <v>0.71182999999999996</v>
      </c>
    </row>
    <row r="32" spans="1:3" x14ac:dyDescent="0.25">
      <c r="A32" t="s">
        <v>16</v>
      </c>
      <c r="B32">
        <v>0.78759999999999997</v>
      </c>
      <c r="C32">
        <f>MAX(B32:B35)</f>
        <v>0.82892999999999994</v>
      </c>
    </row>
    <row r="33" spans="1:3" x14ac:dyDescent="0.25">
      <c r="A33" t="s">
        <v>16</v>
      </c>
      <c r="B33">
        <v>0.78415999999999997</v>
      </c>
    </row>
    <row r="34" spans="1:3" x14ac:dyDescent="0.25">
      <c r="A34" t="s">
        <v>16</v>
      </c>
      <c r="B34">
        <v>0.82892999999999994</v>
      </c>
    </row>
    <row r="35" spans="1:3" x14ac:dyDescent="0.25">
      <c r="A35" t="s">
        <v>16</v>
      </c>
      <c r="B35">
        <v>0.78874999999999995</v>
      </c>
    </row>
    <row r="36" spans="1:3" x14ac:dyDescent="0.25">
      <c r="A36" t="s">
        <v>28</v>
      </c>
      <c r="B36">
        <v>0.56486999999999998</v>
      </c>
      <c r="C36">
        <f>MAX(B36:B38)</f>
        <v>0.60275999999999996</v>
      </c>
    </row>
    <row r="37" spans="1:3" x14ac:dyDescent="0.25">
      <c r="A37" t="s">
        <v>28</v>
      </c>
      <c r="B37">
        <v>0.53156999999999999</v>
      </c>
    </row>
    <row r="38" spans="1:3" x14ac:dyDescent="0.25">
      <c r="A38" t="s">
        <v>28</v>
      </c>
      <c r="B38">
        <v>0.60275999999999996</v>
      </c>
    </row>
    <row r="39" spans="1:3" x14ac:dyDescent="0.25">
      <c r="A39" t="s">
        <v>29</v>
      </c>
      <c r="B39">
        <v>0.81745000000000001</v>
      </c>
      <c r="C39">
        <f>MAX(B39:B42)</f>
        <v>0.82721</v>
      </c>
    </row>
    <row r="40" spans="1:3" x14ac:dyDescent="0.25">
      <c r="A40" t="s">
        <v>29</v>
      </c>
      <c r="B40">
        <v>0.79564000000000001</v>
      </c>
    </row>
    <row r="41" spans="1:3" x14ac:dyDescent="0.25">
      <c r="A41" t="s">
        <v>29</v>
      </c>
      <c r="B41">
        <v>0.82203999999999999</v>
      </c>
    </row>
    <row r="42" spans="1:3" x14ac:dyDescent="0.25">
      <c r="A42" t="s">
        <v>29</v>
      </c>
      <c r="B42">
        <v>0.82721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0.73109999999999997</v>
      </c>
      <c r="C2">
        <f>MAX(B2:B5)</f>
        <v>0.73224</v>
      </c>
    </row>
    <row r="3" spans="1:3" x14ac:dyDescent="0.25">
      <c r="A3" t="s">
        <v>13</v>
      </c>
      <c r="B3">
        <v>0.73224</v>
      </c>
    </row>
    <row r="4" spans="1:3" x14ac:dyDescent="0.25">
      <c r="A4" t="s">
        <v>13</v>
      </c>
      <c r="B4">
        <v>0.73192999999999997</v>
      </c>
    </row>
    <row r="5" spans="1:3" x14ac:dyDescent="0.25">
      <c r="A5" t="s">
        <v>13</v>
      </c>
      <c r="B5">
        <v>0.73187000000000002</v>
      </c>
    </row>
    <row r="6" spans="1:3" x14ac:dyDescent="0.25">
      <c r="A6" t="s">
        <v>22</v>
      </c>
      <c r="B6">
        <v>0.71123000000000003</v>
      </c>
      <c r="C6">
        <f>MAX(B6:B9)</f>
        <v>0.72943999999999998</v>
      </c>
    </row>
    <row r="7" spans="1:3" x14ac:dyDescent="0.25">
      <c r="A7" t="s">
        <v>22</v>
      </c>
      <c r="B7">
        <v>0.71386000000000005</v>
      </c>
    </row>
    <row r="8" spans="1:3" x14ac:dyDescent="0.25">
      <c r="A8" t="s">
        <v>22</v>
      </c>
      <c r="B8">
        <v>0.72921000000000002</v>
      </c>
    </row>
    <row r="9" spans="1:3" x14ac:dyDescent="0.25">
      <c r="A9" t="s">
        <v>22</v>
      </c>
      <c r="B9">
        <v>0.72943999999999998</v>
      </c>
    </row>
    <row r="10" spans="1:3" x14ac:dyDescent="0.25">
      <c r="A10" t="s">
        <v>23</v>
      </c>
      <c r="B10">
        <v>0.68449000000000004</v>
      </c>
      <c r="C10">
        <f>MAX(B10:B11)</f>
        <v>0.68955</v>
      </c>
    </row>
    <row r="11" spans="1:3" x14ac:dyDescent="0.25">
      <c r="A11" t="s">
        <v>23</v>
      </c>
      <c r="B11">
        <v>0.68955</v>
      </c>
    </row>
    <row r="12" spans="1:3" x14ac:dyDescent="0.25">
      <c r="A12" t="s">
        <v>24</v>
      </c>
      <c r="B12">
        <v>0.62085000000000001</v>
      </c>
      <c r="C12">
        <f>MAX(B12:B13)</f>
        <v>0.62131000000000003</v>
      </c>
    </row>
    <row r="13" spans="1:3" x14ac:dyDescent="0.25">
      <c r="A13" t="s">
        <v>24</v>
      </c>
      <c r="B13">
        <v>0.62131000000000003</v>
      </c>
    </row>
    <row r="14" spans="1:3" x14ac:dyDescent="0.25">
      <c r="A14" t="s">
        <v>25</v>
      </c>
      <c r="B14">
        <v>0.58389000000000002</v>
      </c>
      <c r="C14">
        <f>MAX(B14:B15)</f>
        <v>0.60921999999999998</v>
      </c>
    </row>
    <row r="15" spans="1:3" x14ac:dyDescent="0.25">
      <c r="A15" t="s">
        <v>25</v>
      </c>
      <c r="B15">
        <v>0.60921999999999998</v>
      </c>
    </row>
    <row r="16" spans="1:3" x14ac:dyDescent="0.25">
      <c r="A16" t="s">
        <v>15</v>
      </c>
      <c r="B16">
        <v>0.56013999999999997</v>
      </c>
      <c r="C16">
        <f>MAX(B16:B19)</f>
        <v>0.57003999999999999</v>
      </c>
    </row>
    <row r="17" spans="1:3" x14ac:dyDescent="0.25">
      <c r="A17" t="s">
        <v>15</v>
      </c>
      <c r="B17">
        <v>0.56925000000000003</v>
      </c>
    </row>
    <row r="18" spans="1:3" x14ac:dyDescent="0.25">
      <c r="A18" t="s">
        <v>15</v>
      </c>
      <c r="B18">
        <v>0.56938</v>
      </c>
    </row>
    <row r="19" spans="1:3" x14ac:dyDescent="0.25">
      <c r="A19" t="s">
        <v>15</v>
      </c>
      <c r="B19">
        <v>0.57003999999999999</v>
      </c>
    </row>
    <row r="20" spans="1:3" x14ac:dyDescent="0.25">
      <c r="A20" t="s">
        <v>26</v>
      </c>
      <c r="B20">
        <v>0.63636999999999999</v>
      </c>
      <c r="C20">
        <f>MAX(B20)</f>
        <v>0.63636999999999999</v>
      </c>
    </row>
    <row r="21" spans="1:3" x14ac:dyDescent="0.25">
      <c r="A21" t="s">
        <v>14</v>
      </c>
      <c r="B21">
        <v>0.74827999999999995</v>
      </c>
      <c r="C21">
        <f>MAX(B21:B23)</f>
        <v>0.76080999999999999</v>
      </c>
    </row>
    <row r="22" spans="1:3" x14ac:dyDescent="0.25">
      <c r="A22" t="s">
        <v>14</v>
      </c>
      <c r="B22">
        <v>0.75512999999999997</v>
      </c>
    </row>
    <row r="23" spans="1:3" x14ac:dyDescent="0.25">
      <c r="A23" t="s">
        <v>14</v>
      </c>
      <c r="B23">
        <v>0.76080999999999999</v>
      </c>
    </row>
    <row r="24" spans="1:3" x14ac:dyDescent="0.25">
      <c r="A24" t="s">
        <v>27</v>
      </c>
      <c r="B24">
        <v>0.55620999999999998</v>
      </c>
      <c r="C24">
        <f>MAX(B24:B25)</f>
        <v>0.55620999999999998</v>
      </c>
    </row>
    <row r="25" spans="1:3" x14ac:dyDescent="0.25">
      <c r="A25" t="s">
        <v>27</v>
      </c>
      <c r="B25">
        <v>0.53607000000000005</v>
      </c>
    </row>
    <row r="26" spans="1:3" x14ac:dyDescent="0.25">
      <c r="A26" t="s">
        <v>16</v>
      </c>
      <c r="B26">
        <v>0.72306000000000004</v>
      </c>
      <c r="C26">
        <f>MAX(B26:B28)</f>
        <v>0.72887999999999997</v>
      </c>
    </row>
    <row r="27" spans="1:3" x14ac:dyDescent="0.25">
      <c r="A27" t="s">
        <v>16</v>
      </c>
      <c r="B27">
        <v>0.72567999999999999</v>
      </c>
    </row>
    <row r="28" spans="1:3" x14ac:dyDescent="0.25">
      <c r="A28" t="s">
        <v>16</v>
      </c>
      <c r="B28">
        <v>0.72887999999999997</v>
      </c>
    </row>
    <row r="29" spans="1:3" x14ac:dyDescent="0.25">
      <c r="A29" t="s">
        <v>28</v>
      </c>
      <c r="B29">
        <v>0.61728000000000005</v>
      </c>
      <c r="C29">
        <f>MAX(B29:B31)</f>
        <v>0.61728000000000005</v>
      </c>
    </row>
    <row r="30" spans="1:3" x14ac:dyDescent="0.25">
      <c r="A30" t="s">
        <v>28</v>
      </c>
      <c r="B30">
        <v>0.61375000000000002</v>
      </c>
    </row>
    <row r="31" spans="1:3" x14ac:dyDescent="0.25">
      <c r="A31" t="s">
        <v>28</v>
      </c>
      <c r="B31">
        <v>0.61621999999999999</v>
      </c>
    </row>
    <row r="32" spans="1:3" x14ac:dyDescent="0.25">
      <c r="A32" t="s">
        <v>29</v>
      </c>
      <c r="B32">
        <v>0.68786000000000003</v>
      </c>
      <c r="C32">
        <f>MAX(B32:B34)</f>
        <v>0.70121</v>
      </c>
    </row>
    <row r="33" spans="1:2" x14ac:dyDescent="0.25">
      <c r="A33" t="s">
        <v>29</v>
      </c>
      <c r="B33">
        <v>0.69167999999999996</v>
      </c>
    </row>
    <row r="34" spans="1:2" x14ac:dyDescent="0.25">
      <c r="A34" t="s">
        <v>29</v>
      </c>
      <c r="B34">
        <v>0.70121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0.98255999999999999</v>
      </c>
      <c r="C2">
        <f>MAX(B2:B4)</f>
        <v>0.99212</v>
      </c>
    </row>
    <row r="3" spans="1:3" x14ac:dyDescent="0.25">
      <c r="A3" t="s">
        <v>13</v>
      </c>
      <c r="B3">
        <v>0.99212</v>
      </c>
    </row>
    <row r="4" spans="1:3" x14ac:dyDescent="0.25">
      <c r="A4" t="s">
        <v>13</v>
      </c>
      <c r="B4">
        <v>0.99175999999999997</v>
      </c>
    </row>
    <row r="5" spans="1:3" x14ac:dyDescent="0.25">
      <c r="A5" t="s">
        <v>22</v>
      </c>
      <c r="B5">
        <v>0.92906</v>
      </c>
      <c r="C5">
        <f>MAX(B5:B8)</f>
        <v>0.99160000000000004</v>
      </c>
    </row>
    <row r="6" spans="1:3" x14ac:dyDescent="0.25">
      <c r="A6" t="s">
        <v>22</v>
      </c>
      <c r="B6">
        <v>0.99160000000000004</v>
      </c>
    </row>
    <row r="7" spans="1:3" x14ac:dyDescent="0.25">
      <c r="A7" t="s">
        <v>22</v>
      </c>
      <c r="B7">
        <v>0.99158000000000002</v>
      </c>
    </row>
    <row r="8" spans="1:3" x14ac:dyDescent="0.25">
      <c r="A8" t="s">
        <v>22</v>
      </c>
      <c r="B8">
        <v>0.99150000000000005</v>
      </c>
    </row>
    <row r="9" spans="1:3" x14ac:dyDescent="0.25">
      <c r="A9" t="s">
        <v>23</v>
      </c>
      <c r="B9">
        <v>0.56969999999999998</v>
      </c>
      <c r="C9">
        <f>MAX(B9:B12)</f>
        <v>0.96580999999999995</v>
      </c>
    </row>
    <row r="10" spans="1:3" x14ac:dyDescent="0.25">
      <c r="A10" t="s">
        <v>23</v>
      </c>
      <c r="B10">
        <v>0.59387999999999996</v>
      </c>
    </row>
    <row r="11" spans="1:3" x14ac:dyDescent="0.25">
      <c r="A11" t="s">
        <v>23</v>
      </c>
      <c r="B11">
        <v>0.96469000000000005</v>
      </c>
    </row>
    <row r="12" spans="1:3" x14ac:dyDescent="0.25">
      <c r="A12" t="s">
        <v>23</v>
      </c>
      <c r="B12">
        <v>0.96580999999999995</v>
      </c>
    </row>
    <row r="13" spans="1:3" x14ac:dyDescent="0.25">
      <c r="A13" t="s">
        <v>24</v>
      </c>
      <c r="B13">
        <v>0.53820999999999997</v>
      </c>
      <c r="C13">
        <f>MAX(B13:B15)</f>
        <v>0.96679999999999999</v>
      </c>
    </row>
    <row r="14" spans="1:3" x14ac:dyDescent="0.25">
      <c r="A14" t="s">
        <v>24</v>
      </c>
      <c r="B14">
        <v>0.96197999999999995</v>
      </c>
    </row>
    <row r="15" spans="1:3" x14ac:dyDescent="0.25">
      <c r="A15" t="s">
        <v>24</v>
      </c>
      <c r="B15">
        <v>0.96679999999999999</v>
      </c>
    </row>
    <row r="16" spans="1:3" x14ac:dyDescent="0.25">
      <c r="A16" t="s">
        <v>25</v>
      </c>
      <c r="B16">
        <v>0.54798999999999998</v>
      </c>
      <c r="C16">
        <f>MAX(B16:B19)</f>
        <v>0.96231</v>
      </c>
    </row>
    <row r="17" spans="1:3" x14ac:dyDescent="0.25">
      <c r="A17" t="s">
        <v>25</v>
      </c>
      <c r="B17">
        <v>0.55501</v>
      </c>
    </row>
    <row r="18" spans="1:3" x14ac:dyDescent="0.25">
      <c r="A18" t="s">
        <v>25</v>
      </c>
      <c r="B18">
        <v>0.96167000000000002</v>
      </c>
    </row>
    <row r="19" spans="1:3" x14ac:dyDescent="0.25">
      <c r="A19" t="s">
        <v>25</v>
      </c>
      <c r="B19">
        <v>0.96231</v>
      </c>
    </row>
    <row r="20" spans="1:3" x14ac:dyDescent="0.25">
      <c r="A20" t="s">
        <v>15</v>
      </c>
      <c r="B20">
        <v>0.58098000000000005</v>
      </c>
      <c r="C20">
        <f>MAX(B20:B23)</f>
        <v>0.75034000000000001</v>
      </c>
    </row>
    <row r="21" spans="1:3" x14ac:dyDescent="0.25">
      <c r="A21" t="s">
        <v>15</v>
      </c>
      <c r="B21">
        <v>0.58501000000000003</v>
      </c>
    </row>
    <row r="22" spans="1:3" x14ac:dyDescent="0.25">
      <c r="A22" t="s">
        <v>15</v>
      </c>
      <c r="B22">
        <v>0.48826999999999998</v>
      </c>
    </row>
    <row r="23" spans="1:3" x14ac:dyDescent="0.25">
      <c r="A23" t="s">
        <v>15</v>
      </c>
      <c r="B23">
        <v>0.75034000000000001</v>
      </c>
    </row>
    <row r="24" spans="1:3" x14ac:dyDescent="0.25">
      <c r="A24" t="s">
        <v>26</v>
      </c>
      <c r="B24">
        <v>0.95779000000000003</v>
      </c>
      <c r="C24">
        <f>MAX(B24:B26)</f>
        <v>0.96431999999999995</v>
      </c>
    </row>
    <row r="25" spans="1:3" x14ac:dyDescent="0.25">
      <c r="A25" t="s">
        <v>26</v>
      </c>
      <c r="B25">
        <v>0.96277999999999997</v>
      </c>
    </row>
    <row r="26" spans="1:3" x14ac:dyDescent="0.25">
      <c r="A26" t="s">
        <v>26</v>
      </c>
      <c r="B26">
        <v>0.96431999999999995</v>
      </c>
    </row>
    <row r="27" spans="1:3" x14ac:dyDescent="0.25">
      <c r="A27" t="s">
        <v>14</v>
      </c>
      <c r="B27">
        <v>0.95098000000000005</v>
      </c>
      <c r="C27">
        <f>MAX(B27:B29)</f>
        <v>0.97979000000000005</v>
      </c>
    </row>
    <row r="28" spans="1:3" x14ac:dyDescent="0.25">
      <c r="A28" t="s">
        <v>14</v>
      </c>
      <c r="B28">
        <v>0.95459000000000005</v>
      </c>
    </row>
    <row r="29" spans="1:3" x14ac:dyDescent="0.25">
      <c r="A29" t="s">
        <v>14</v>
      </c>
      <c r="B29">
        <v>0.97979000000000005</v>
      </c>
    </row>
    <row r="30" spans="1:3" x14ac:dyDescent="0.25">
      <c r="A30" t="s">
        <v>27</v>
      </c>
      <c r="B30">
        <v>0.51185999999999998</v>
      </c>
      <c r="C30">
        <f>MAX(B30:B33)</f>
        <v>0.82213999999999998</v>
      </c>
    </row>
    <row r="31" spans="1:3" x14ac:dyDescent="0.25">
      <c r="A31" t="s">
        <v>27</v>
      </c>
      <c r="B31">
        <v>0.64922000000000002</v>
      </c>
    </row>
    <row r="32" spans="1:3" x14ac:dyDescent="0.25">
      <c r="A32" t="s">
        <v>27</v>
      </c>
      <c r="B32">
        <v>0.67037999999999998</v>
      </c>
    </row>
    <row r="33" spans="1:3" x14ac:dyDescent="0.25">
      <c r="A33" t="s">
        <v>27</v>
      </c>
      <c r="B33">
        <v>0.82213999999999998</v>
      </c>
    </row>
    <row r="34" spans="1:3" x14ac:dyDescent="0.25">
      <c r="A34" t="s">
        <v>16</v>
      </c>
      <c r="B34">
        <v>0.74521000000000004</v>
      </c>
      <c r="C34">
        <f>MAX(B34:B36)</f>
        <v>0.97790999999999995</v>
      </c>
    </row>
    <row r="35" spans="1:3" x14ac:dyDescent="0.25">
      <c r="A35" t="s">
        <v>16</v>
      </c>
      <c r="B35">
        <v>0.96238999999999997</v>
      </c>
    </row>
    <row r="36" spans="1:3" x14ac:dyDescent="0.25">
      <c r="A36" t="s">
        <v>16</v>
      </c>
      <c r="B36">
        <v>0.97790999999999995</v>
      </c>
    </row>
    <row r="37" spans="1:3" x14ac:dyDescent="0.25">
      <c r="A37" t="s">
        <v>28</v>
      </c>
      <c r="B37">
        <v>0.51105</v>
      </c>
      <c r="C37">
        <f>MAX(B37:B40)</f>
        <v>0.95711999999999997</v>
      </c>
    </row>
    <row r="38" spans="1:3" x14ac:dyDescent="0.25">
      <c r="A38" t="s">
        <v>28</v>
      </c>
      <c r="B38">
        <v>0.57008999999999999</v>
      </c>
    </row>
    <row r="39" spans="1:3" x14ac:dyDescent="0.25">
      <c r="A39" t="s">
        <v>28</v>
      </c>
      <c r="B39">
        <v>0.95633000000000001</v>
      </c>
    </row>
    <row r="40" spans="1:3" x14ac:dyDescent="0.25">
      <c r="A40" t="s">
        <v>28</v>
      </c>
      <c r="B40">
        <v>0.95711999999999997</v>
      </c>
    </row>
    <row r="41" spans="1:3" x14ac:dyDescent="0.25">
      <c r="A41" t="s">
        <v>29</v>
      </c>
      <c r="B41">
        <v>0.95520000000000005</v>
      </c>
      <c r="C41">
        <f>MAX(B41:B44)</f>
        <v>0.96694999999999998</v>
      </c>
    </row>
    <row r="42" spans="1:3" x14ac:dyDescent="0.25">
      <c r="A42" t="s">
        <v>29</v>
      </c>
      <c r="B42">
        <v>0.94615000000000005</v>
      </c>
    </row>
    <row r="43" spans="1:3" x14ac:dyDescent="0.25">
      <c r="A43" t="s">
        <v>29</v>
      </c>
      <c r="B43">
        <v>0.94364999999999999</v>
      </c>
    </row>
    <row r="44" spans="1:3" x14ac:dyDescent="0.25">
      <c r="A44" t="s">
        <v>29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Results</vt:lpstr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2025-03-18T00:03:39Z</dcterms:modified>
</cp:coreProperties>
</file>