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2BE3BD24-8ADA-4F0F-8BBC-747C264DE935}" xr6:coauthVersionLast="47" xr6:coauthVersionMax="47" xr10:uidLastSave="{00000000-0000-0000-0000-000000000000}"/>
  <bookViews>
    <workbookView xWindow="-19320" yWindow="-120" windowWidth="19440" windowHeight="14880" xr2:uid="{00000000-000D-0000-FFFF-FFFF00000000}"/>
  </bookViews>
  <sheets>
    <sheet name="Latex" sheetId="14" r:id="rId1"/>
    <sheet name="Arrhythmia" sheetId="2" r:id="rId2"/>
    <sheet name="Parkinson" sheetId="3" r:id="rId3"/>
    <sheet name="Shuttle" sheetId="4" r:id="rId4"/>
    <sheet name="WBC" sheetId="5" r:id="rId5"/>
    <sheet name="SpamBase" sheetId="6" r:id="rId6"/>
    <sheet name="WPBC" sheetId="7" r:id="rId7"/>
    <sheet name="HeartDisease" sheetId="8" r:id="rId8"/>
    <sheet name="Glass" sheetId="9" r:id="rId9"/>
    <sheet name="Hep" sheetId="10" r:id="rId10"/>
    <sheet name="Pima" sheetId="11" r:id="rId11"/>
    <sheet name="PenDigits" sheetId="12" r:id="rId12"/>
    <sheet name="Results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4" l="1"/>
  <c r="C45" i="14"/>
  <c r="D45" i="14"/>
  <c r="B19" i="14"/>
  <c r="B20" i="14"/>
  <c r="B21" i="14"/>
  <c r="B22" i="14"/>
  <c r="B23" i="14"/>
  <c r="B24" i="14"/>
  <c r="B25" i="14"/>
  <c r="B26" i="14"/>
  <c r="B27" i="14"/>
  <c r="B28" i="14"/>
  <c r="B18" i="14"/>
  <c r="S14" i="14"/>
  <c r="Q14" i="14"/>
  <c r="R14" i="14"/>
  <c r="T14" i="14"/>
  <c r="P14" i="14"/>
  <c r="B31" i="1"/>
  <c r="B31" i="14"/>
  <c r="Q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<sst xmlns="http://schemas.openxmlformats.org/spreadsheetml/2006/main" count="553" uniqueCount="45">
  <si>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</si>
  <si>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</si>
  <si>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</si>
  <si>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</si>
  <si>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</si>
  <si>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</si>
  <si>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</si>
  <si>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</si>
  <si>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</si>
  <si>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</si>
  <si>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</si>
  <si>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</si>
  <si>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</si>
  <si>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</si>
  <si>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</si>
  <si>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</si>
  <si>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</si>
  <si>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</si>
  <si>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</si>
  <si>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</si>
  <si>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</si>
  <si>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</si>
  <si>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</si>
  <si>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</si>
  <si>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</si>
  <si>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</si>
  <si>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</si>
  <si>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</si>
  <si>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</si>
  <si>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</si>
  <si>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</si>
  <si>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</si>
  <si>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</si>
  <si>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</si>
  <si>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</si>
  <si>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</si>
  <si>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</si>
  <si>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</si>
  <si>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Log Gamma</t>
  </si>
  <si>
    <t>BoxPlot</t>
  </si>
  <si>
    <t>Log Gamma R^2</t>
  </si>
  <si>
    <t xml:space="preserve">Gamma </t>
  </si>
  <si>
    <t>Log SkewNorm</t>
  </si>
  <si>
    <t>LogSkewNorm</t>
  </si>
  <si>
    <t>Log SkewNorm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</si>
</sst>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0" xfId="0" applyNumberFormat="1" applyFont="1"/>
    <xf numFmtId="0" fontId="0" fillId="0" borderId="3" xfId="0" applyBorder="1"/>
    <xf numFmtId="164" fontId="0" fillId="0" borderId="3" xfId="0" applyNumberFormat="1" applyBorder="1"/>
    <xf numFmtId="165" fontId="0" fillId="0" borderId="3" xfId="0" applyNumberFormat="1" applyBorder="1"/>
    <xf numFmtId="165" fontId="0" fillId="0" borderId="3" xfId="0" applyNumberFormat="1" applyFont="1" applyBorder="1"/>
  </cellXfs>
  <cellStyles count="3">
    <cellStyle name="Comma" xfId="1" builtinId="3"/>
    <cellStyle name="Normal" xfId="0" builtinId="0"/>
    <cellStyle name="Per cent" xfId="2" builtinId="5"/>
  </cellStyles>
  <dxfs count="20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T45"/>
  <sheetViews>
    <sheetView tabSelected="1" workbookViewId="0">
      <selection activeCell="L15" sqref="L15"/>
    </sheetView>
  </sheetViews>
  <sheetFormatPr defaultRowHeight="15" x14ac:dyDescent="0.25"/>
  <cols>
    <col min="1" max="1" width="11.5703125" customWidth="1"/>
    <col min="2" max="2" width="18" customWidth="1"/>
    <col min="3" max="3" width="15" customWidth="1"/>
    <col min="4" max="4" width="14.42578125" customWidth="1"/>
    <col min="5" max="7" width="9.140625" customWidth="1"/>
    <col min="8" max="8" width="9.140625" hidden="1" customWidth="1"/>
    <col min="9" max="9" width="9.140625" customWidth="1"/>
    <col min="10" max="10" width="9.140625" hidden="1" customWidth="1"/>
    <col min="11" max="13" width="9.140625" customWidth="1"/>
    <col min="14" max="14" width="16.5703125" customWidth="1"/>
    <col min="15" max="15" width="18.28515625" hidden="1" customWidth="1"/>
    <col min="16" max="16" width="15.85546875" customWidth="1"/>
    <col min="17" max="17" width="24.140625" hidden="1" customWidth="1"/>
    <col min="18" max="18" width="16" customWidth="1"/>
    <col min="19" max="19" width="18.42578125" hidden="1" customWidth="1"/>
  </cols>
  <sheetData>
    <row r="1" spans="1:20" x14ac:dyDescent="0.25">
      <c r="A1" s="4"/>
      <c r="B1" s="10" t="s">
        <v>33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1" t="s">
        <v>34</v>
      </c>
      <c r="O1" s="11"/>
      <c r="P1" s="11"/>
      <c r="Q1" s="11"/>
      <c r="R1" s="11"/>
      <c r="S1" s="11"/>
      <c r="T1" s="11"/>
    </row>
    <row r="2" spans="1:20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38</v>
      </c>
      <c r="Q2" s="4" t="s">
        <v>40</v>
      </c>
      <c r="R2" s="4" t="s">
        <v>43</v>
      </c>
      <c r="S2" s="4" t="s">
        <v>44</v>
      </c>
      <c r="T2" s="4" t="s">
        <v>39</v>
      </c>
    </row>
    <row r="3" spans="1:20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>
        <v>0.99539999999999995</v>
      </c>
      <c r="R3" s="3">
        <v>0.75987784497851296</v>
      </c>
      <c r="S3" s="3">
        <v>0.99490000000000001</v>
      </c>
      <c r="T3" s="3">
        <v>0.75567006207225795</v>
      </c>
    </row>
    <row r="4" spans="1:20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>
        <v>0.96550000000000002</v>
      </c>
      <c r="R4" s="3">
        <v>0.73915816326530603</v>
      </c>
      <c r="S4" s="3">
        <v>0.96919999999999995</v>
      </c>
      <c r="T4" s="3">
        <v>0.63116496598639404</v>
      </c>
    </row>
    <row r="5" spans="1:20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>
        <v>0.99239999999999995</v>
      </c>
      <c r="R5" s="3">
        <v>0.84565384615384598</v>
      </c>
      <c r="S5" s="3">
        <v>0.99250000000000005</v>
      </c>
      <c r="T5" s="3">
        <v>0.81988461538461499</v>
      </c>
    </row>
    <row r="6" spans="1:20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>
        <v>0.9395</v>
      </c>
      <c r="R6" s="3">
        <v>0.99624413145539903</v>
      </c>
      <c r="S6" s="3">
        <v>0.93279999999999996</v>
      </c>
      <c r="T6" s="3">
        <v>0.92957746478873204</v>
      </c>
    </row>
    <row r="7" spans="1:20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>
        <v>0.72509999999999997</v>
      </c>
      <c r="R7" s="3">
        <v>0.65016626175164505</v>
      </c>
      <c r="S7" s="3">
        <v>0.83940000000000003</v>
      </c>
      <c r="T7" s="3">
        <v>0.58773988623427098</v>
      </c>
    </row>
    <row r="8" spans="1:20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>
        <v>0.99229999999999996</v>
      </c>
      <c r="R8" s="3">
        <v>0.53170353670564996</v>
      </c>
      <c r="S8" s="3">
        <v>0.98950000000000005</v>
      </c>
      <c r="T8" s="3">
        <v>0.52973087219951998</v>
      </c>
    </row>
    <row r="9" spans="1:20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>
        <v>0.99390000000000001</v>
      </c>
      <c r="R9" s="3">
        <v>0.70052777777777697</v>
      </c>
      <c r="S9" s="3">
        <v>0.99309999999999998</v>
      </c>
      <c r="T9" s="3">
        <v>0.65786111111111101</v>
      </c>
    </row>
    <row r="10" spans="1:20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>
        <v>0.97550000000000003</v>
      </c>
      <c r="R10" s="3">
        <v>0.87615176151761498</v>
      </c>
      <c r="S10" s="3">
        <v>0.98719999999999997</v>
      </c>
      <c r="T10" s="3">
        <v>0.862059620596206</v>
      </c>
    </row>
    <row r="11" spans="1:20" x14ac:dyDescent="0.2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>
        <v>0.96550000000000002</v>
      </c>
      <c r="R11" s="3">
        <v>0.78817451205510902</v>
      </c>
      <c r="S11" s="3">
        <v>0.96450000000000002</v>
      </c>
      <c r="T11" s="3">
        <v>0.78415614236509701</v>
      </c>
    </row>
    <row r="12" spans="1:20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>
        <v>0.99080000000000001</v>
      </c>
      <c r="R12" s="3">
        <v>0.73719029850746198</v>
      </c>
      <c r="S12" s="3">
        <v>0.99060000000000004</v>
      </c>
      <c r="T12" s="3">
        <v>0.73098880597014904</v>
      </c>
    </row>
    <row r="13" spans="1:20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>
        <v>0.99809999999999999</v>
      </c>
      <c r="R13" s="3">
        <v>0.98738830219333795</v>
      </c>
      <c r="S13" s="3">
        <v>0.99860000000000004</v>
      </c>
      <c r="T13" s="3">
        <v>0.96613779447603498</v>
      </c>
    </row>
    <row r="14" spans="1:20" x14ac:dyDescent="0.25">
      <c r="A14" s="7" t="s">
        <v>30</v>
      </c>
      <c r="B14" s="8">
        <f>AVERAGE(B3:B13)</f>
        <v>0.76385363636363646</v>
      </c>
      <c r="C14" s="8">
        <f t="shared" ref="C14:M14" si="0">AVERAGE(C3:C13)</f>
        <v>0.74898363636363641</v>
      </c>
      <c r="D14" s="8">
        <f t="shared" si="0"/>
        <v>0.73779636363636358</v>
      </c>
      <c r="E14" s="8">
        <f t="shared" si="0"/>
        <v>0.71585272727272731</v>
      </c>
      <c r="F14" s="8">
        <f t="shared" si="0"/>
        <v>0.7080581818181817</v>
      </c>
      <c r="G14" s="8">
        <f t="shared" si="0"/>
        <v>0.68091363636363633</v>
      </c>
      <c r="H14" s="8">
        <f t="shared" si="0"/>
        <v>0.70191727272727278</v>
      </c>
      <c r="I14" s="8">
        <f t="shared" si="0"/>
        <v>0.70524545454545462</v>
      </c>
      <c r="J14" s="8">
        <f t="shared" si="0"/>
        <v>0.63380727272727266</v>
      </c>
      <c r="K14" s="8">
        <f t="shared" si="0"/>
        <v>0.75610909090909084</v>
      </c>
      <c r="L14" s="8">
        <f t="shared" si="0"/>
        <v>0.69330909090909087</v>
      </c>
      <c r="M14" s="8">
        <f t="shared" si="0"/>
        <v>0.74376999999999993</v>
      </c>
      <c r="N14" s="8">
        <f t="shared" ref="N14:T14" si="1">AVERAGE(N3:N13)</f>
        <v>0.7803154126486137</v>
      </c>
      <c r="O14" s="8">
        <f t="shared" si="1"/>
        <v>0.93570909090909093</v>
      </c>
      <c r="P14" s="9">
        <f t="shared" si="1"/>
        <v>0.78261144820912876</v>
      </c>
      <c r="Q14" s="9">
        <f t="shared" si="1"/>
        <v>0.95763636363636384</v>
      </c>
      <c r="R14" s="9">
        <f t="shared" si="1"/>
        <v>0.78293058512378733</v>
      </c>
      <c r="S14" s="9">
        <f t="shared" si="1"/>
        <v>0.96839090909090897</v>
      </c>
      <c r="T14" s="9">
        <f t="shared" si="1"/>
        <v>0.75045194010767158</v>
      </c>
    </row>
    <row r="18" spans="2:17" hidden="1" x14ac:dyDescent="0.25">
      <c r="B18" t="str">
        <f>_xlfn.CONCAT("[",_xlfn.TEXTJOIN(",",TRUE,B3:N3,P3,R3,T3),"]")</f>
        <v>[0.752,0.75008,0.74421,0.74339,0.74111,0.73452,0.72669,0.74176,0.66101,0.72286,0.73154,0.73385,0.761081489734203,0.760872592710488,0.759877844978513,0.755670062072258]</v>
      </c>
      <c r="Q18" t="str">
        <f>_xlfn.TEXTJOIN("','",TRUE,A3:A13)</f>
        <v>Arrhythmia','Parkinson','Shuttle','WBC','SpamBase','WPBC','HeartDisease','Glass','Hepatitis','Pima','PenDigits</v>
      </c>
    </row>
    <row r="19" spans="2:17" hidden="1" x14ac:dyDescent="0.25">
      <c r="B19" t="str">
        <f t="shared" ref="B19:B28" si="2">_xlfn.CONCAT("[",_xlfn.TEXTJOIN(",",TRUE,B4:N4,P4,R4,T4),"]")</f>
        <v>[0.65235,0.64399,0.61196,0.60728,0.58312,0.55315,0.52608,0.66993,0.58673,0.60218,0.59198,0.64966,0.738166099773242,0.74000850340136,0.739158163265306,0.631164965986394]</v>
      </c>
    </row>
    <row r="20" spans="2:17" hidden="1" x14ac:dyDescent="0.25">
      <c r="B20" t="str">
        <f t="shared" si="2"/>
        <v>[0.81762,0.72785,0.78208,0.76608,0.78992,0.84754,0.789,0.316,0.69192,0.71585,0.79885,0.63969,0.820153846153846,0.845653846153846,0.845653846153846,0.819884615384615]</v>
      </c>
    </row>
    <row r="21" spans="2:17" hidden="1" x14ac:dyDescent="0.25">
      <c r="B21" t="str">
        <f t="shared" si="2"/>
        <v>[0.99718,0.99718,0.99671,0.9939,0.98028,0.96526,0.96737,0.99484,0.64789,0.99718,0.9939,0.99437,0.998591549295774,0.993661971830986,0.996244131455399,0.929577464788732]</v>
      </c>
    </row>
    <row r="22" spans="2:17" hidden="1" x14ac:dyDescent="0.25">
      <c r="B22" t="str">
        <f t="shared" si="2"/>
        <v>[0.57347,0.56618,0.47384,0.50119,0.49658,0.4796,0.5191,0.43721,0.47667,0.53641,0.47381,0.49945,0.650009471053444,0.650563127162793,0.650166261751645,0.587739886234271]</v>
      </c>
    </row>
    <row r="23" spans="2:17" hidden="1" x14ac:dyDescent="0.25">
      <c r="B23" t="str">
        <f t="shared" si="2"/>
        <v>[0.5409,0.53191,0.52543,0.50183,0.50183,0.50345,0.50726,0.53417,0.51853,0.58292,0.4957,0.55686,0.531562632098069,0.532196702832182,0.53170353670565,0.52973087219952]</v>
      </c>
    </row>
    <row r="24" spans="2:17" hidden="1" x14ac:dyDescent="0.25">
      <c r="B24" t="str">
        <f t="shared" si="2"/>
        <v>[0.68383,0.66883,0.65583,0.56933,0.56139,0.56906,0.60592,0.75567,0.55694,0.72056,0.55967,0.71683,0.700166666666666,0.699027777777777,0.700527777777777,0.657861111111111]</v>
      </c>
      <c r="N24" s="6"/>
    </row>
    <row r="25" spans="2:17" hidden="1" x14ac:dyDescent="0.25">
      <c r="B25" t="str">
        <f t="shared" si="2"/>
        <v>[0.8748,0.8832,0.86667,0.86504,0.83957,0.77886,0.72927,0.85799,0.74201,0.90352,0.80379,0.89539,0.880487804878048,0.877777777777777,0.876151761517615,0.862059620596206]</v>
      </c>
    </row>
    <row r="26" spans="2:17" hidden="1" x14ac:dyDescent="0.25">
      <c r="B26" t="str">
        <f t="shared" si="2"/>
        <v>[0.78588,0.74856,0.80367,0.73823,0.72331,0.73823,0.74971,0.70953,0.71183,0.82893,0.60276,0.82721,0.784730195177956,0.785878300803674,0.788174512055109,0.784156142365097]</v>
      </c>
    </row>
    <row r="27" spans="2:17" hidden="1" x14ac:dyDescent="0.25">
      <c r="B27" t="str">
        <f t="shared" si="2"/>
        <v>[0.73224,0.72944,0.68955,0.62131,0.60922,0.57004,0.63637,0.76081,0.55621,0.72888,0.61728,0.70121,0.735914179104477,0.735671641791044,0.737190298507462,0.730988805970149]</v>
      </c>
    </row>
    <row r="28" spans="2:17" hidden="1" x14ac:dyDescent="0.25">
      <c r="B28" t="str">
        <f t="shared" si="2"/>
        <v>[0.99212,0.9916,0.96581,0.9668,0.96231,0.75034,0.96432,0.97979,0.82214,0.97791,0.95712,0.96695,0.982605605199025,0.987413688058489,0.987388302193338,0.966137794476035]</v>
      </c>
    </row>
    <row r="29" spans="2:17" hidden="1" x14ac:dyDescent="0.25"/>
    <row r="30" spans="2:17" hidden="1" x14ac:dyDescent="0.25"/>
    <row r="31" spans="2:17" hidden="1" x14ac:dyDescent="0.25">
      <c r="B31" t="str">
        <f>_xlfn.TEXTJOIN("','",TRUE,B2:N2)</f>
        <v>KNN','KNNW','LOF','SimplifiedLOF','LoOP','LDOF','ODIN','FastABOD','KDEOS','LDF','INFLO','COF','Gamma</v>
      </c>
    </row>
    <row r="33" spans="1:4" ht="17.25" x14ac:dyDescent="0.25">
      <c r="A33" s="4" t="s">
        <v>11</v>
      </c>
      <c r="B33" s="4" t="s">
        <v>41</v>
      </c>
      <c r="C33" s="4" t="s">
        <v>38</v>
      </c>
      <c r="D33" s="4" t="s">
        <v>42</v>
      </c>
    </row>
    <row r="34" spans="1:4" x14ac:dyDescent="0.25">
      <c r="A34" t="s">
        <v>35</v>
      </c>
      <c r="B34" s="2">
        <v>0.97450000000000003</v>
      </c>
      <c r="C34" s="3">
        <v>0.99539999999999995</v>
      </c>
      <c r="D34" s="12">
        <v>0.99490000000000001</v>
      </c>
    </row>
    <row r="35" spans="1:4" x14ac:dyDescent="0.25">
      <c r="A35" t="s">
        <v>1</v>
      </c>
      <c r="B35" s="2">
        <v>0.85409999999999997</v>
      </c>
      <c r="C35" s="3">
        <v>0.96550000000000002</v>
      </c>
      <c r="D35" s="12">
        <v>0.96919999999999995</v>
      </c>
    </row>
    <row r="36" spans="1:4" x14ac:dyDescent="0.25">
      <c r="A36" t="s">
        <v>2</v>
      </c>
      <c r="B36" s="2">
        <v>0.72499999999999998</v>
      </c>
      <c r="C36" s="3">
        <v>0.99239999999999995</v>
      </c>
      <c r="D36" s="12">
        <v>0.99250000000000005</v>
      </c>
    </row>
    <row r="37" spans="1:4" x14ac:dyDescent="0.25">
      <c r="A37" t="s">
        <v>3</v>
      </c>
      <c r="B37" s="2">
        <v>0.98670000000000002</v>
      </c>
      <c r="C37" s="3">
        <v>0.9395</v>
      </c>
      <c r="D37" s="12">
        <v>0.93279999999999996</v>
      </c>
    </row>
    <row r="38" spans="1:4" x14ac:dyDescent="0.25">
      <c r="A38" t="s">
        <v>4</v>
      </c>
      <c r="B38" s="2">
        <v>0.92220000000000002</v>
      </c>
      <c r="C38" s="3">
        <v>0.72509999999999997</v>
      </c>
      <c r="D38" s="12">
        <v>0.83940000000000003</v>
      </c>
    </row>
    <row r="39" spans="1:4" x14ac:dyDescent="0.25">
      <c r="A39" t="s">
        <v>5</v>
      </c>
      <c r="B39" s="2">
        <v>0.98599999999999999</v>
      </c>
      <c r="C39" s="3">
        <v>0.99229999999999996</v>
      </c>
      <c r="D39" s="12">
        <v>0.98950000000000005</v>
      </c>
    </row>
    <row r="40" spans="1:4" x14ac:dyDescent="0.25">
      <c r="A40" t="s">
        <v>6</v>
      </c>
      <c r="B40" s="2">
        <v>0.99390000000000001</v>
      </c>
      <c r="C40" s="3">
        <v>0.99390000000000001</v>
      </c>
      <c r="D40" s="12">
        <v>0.99309999999999998</v>
      </c>
    </row>
    <row r="41" spans="1:4" x14ac:dyDescent="0.25">
      <c r="A41" t="s">
        <v>7</v>
      </c>
      <c r="B41" s="2">
        <v>0.93869999999999998</v>
      </c>
      <c r="C41" s="3">
        <v>0.97550000000000003</v>
      </c>
      <c r="D41" s="12">
        <v>0.98719999999999997</v>
      </c>
    </row>
    <row r="42" spans="1:4" x14ac:dyDescent="0.25">
      <c r="A42" t="s">
        <v>8</v>
      </c>
      <c r="B42" s="2">
        <v>0.93610000000000004</v>
      </c>
      <c r="C42" s="3">
        <v>0.96550000000000002</v>
      </c>
      <c r="D42" s="12">
        <v>0.96450000000000002</v>
      </c>
    </row>
    <row r="43" spans="1:4" x14ac:dyDescent="0.25">
      <c r="A43" t="s">
        <v>9</v>
      </c>
      <c r="B43" s="2">
        <v>0.997</v>
      </c>
      <c r="C43" s="3">
        <v>0.99080000000000001</v>
      </c>
      <c r="D43" s="12">
        <v>0.99060000000000004</v>
      </c>
    </row>
    <row r="44" spans="1:4" x14ac:dyDescent="0.25">
      <c r="A44" s="13" t="s">
        <v>10</v>
      </c>
      <c r="B44" s="14">
        <v>0.97860000000000003</v>
      </c>
      <c r="C44" s="15">
        <v>0.99809999999999999</v>
      </c>
      <c r="D44" s="16">
        <v>0.99860000000000004</v>
      </c>
    </row>
    <row r="45" spans="1:4" x14ac:dyDescent="0.25">
      <c r="A45" t="s">
        <v>30</v>
      </c>
      <c r="B45" s="2">
        <f>AVERAGE(B34:B44)</f>
        <v>0.93570909090909093</v>
      </c>
      <c r="C45" s="3">
        <f>AVERAGE(C34:C44)</f>
        <v>0.95763636363636384</v>
      </c>
      <c r="D45" s="12">
        <f>AVERAGE(D34:D44)</f>
        <v>0.96839090909090897</v>
      </c>
    </row>
  </sheetData>
  <mergeCells count="2">
    <mergeCell ref="B1:M1"/>
    <mergeCell ref="N1:T1"/>
  </mergeCells>
  <conditionalFormatting sqref="C34:D34 C35:C44">
    <cfRule type="expression" dxfId="19" priority="2">
      <formula>C34=MAX($O34,$Q34,$S34)</formula>
    </cfRule>
  </conditionalFormatting>
  <conditionalFormatting sqref="D34">
    <cfRule type="expression" dxfId="18" priority="1">
      <formula>D34=MAX($B34:$N34,$P34,$R34,$T34)</formula>
    </cfRule>
  </conditionalFormatting>
  <conditionalFormatting sqref="G5">
    <cfRule type="expression" dxfId="17" priority="5">
      <formula>B3=MAX($B3:$N3)</formula>
    </cfRule>
  </conditionalFormatting>
  <conditionalFormatting sqref="O3:O14 Q3:Q14 S3:S14">
    <cfRule type="expression" dxfId="16" priority="3">
      <formula>O3=MAX($O3,$Q3,$S3)</formula>
    </cfRule>
  </conditionalFormatting>
  <conditionalFormatting sqref="S3:S13 B3:N14 P3:P14 R3:R14 T3:T14">
    <cfRule type="expression" dxfId="15" priority="6">
      <formula>B3=MAX($B3:$N3,$P3,$R3,$T3)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J42"/>
  <sheetViews>
    <sheetView workbookViewId="0">
      <selection activeCell="G15" sqref="G15:J27"/>
    </sheetView>
  </sheetViews>
  <sheetFormatPr defaultRowHeight="15" x14ac:dyDescent="0.25"/>
  <cols>
    <col min="10" max="10" width="9.140625" customWidth="1"/>
  </cols>
  <sheetData>
    <row r="1" spans="1:10" x14ac:dyDescent="0.25">
      <c r="A1" t="s">
        <v>20</v>
      </c>
      <c r="B1" t="s">
        <v>21</v>
      </c>
    </row>
    <row r="2" spans="1:10" x14ac:dyDescent="0.25">
      <c r="A2" t="s">
        <v>13</v>
      </c>
      <c r="B2">
        <v>0.74761</v>
      </c>
    </row>
    <row r="3" spans="1:10" x14ac:dyDescent="0.25">
      <c r="A3" t="s">
        <v>13</v>
      </c>
      <c r="B3">
        <v>0.75158000000000003</v>
      </c>
    </row>
    <row r="4" spans="1:10" x14ac:dyDescent="0.25">
      <c r="A4" t="s">
        <v>13</v>
      </c>
      <c r="B4">
        <v>0.75205</v>
      </c>
      <c r="D4">
        <f>MAX(B2:B5)</f>
        <v>0.75205</v>
      </c>
    </row>
    <row r="5" spans="1:10" x14ac:dyDescent="0.25">
      <c r="A5" t="s">
        <v>13</v>
      </c>
      <c r="B5">
        <v>0.74997999999999998</v>
      </c>
    </row>
    <row r="6" spans="1:10" x14ac:dyDescent="0.25">
      <c r="A6" t="s">
        <v>22</v>
      </c>
      <c r="B6">
        <v>0.74456999999999995</v>
      </c>
    </row>
    <row r="7" spans="1:10" x14ac:dyDescent="0.25">
      <c r="A7" t="s">
        <v>22</v>
      </c>
      <c r="B7">
        <v>0.74836999999999998</v>
      </c>
    </row>
    <row r="8" spans="1:10" x14ac:dyDescent="0.25">
      <c r="A8" t="s">
        <v>22</v>
      </c>
      <c r="B8">
        <v>0.75007999999999997</v>
      </c>
      <c r="D8">
        <f>MAX(B6:B9)</f>
        <v>0.75007999999999997</v>
      </c>
    </row>
    <row r="9" spans="1:10" x14ac:dyDescent="0.25">
      <c r="A9" t="s">
        <v>22</v>
      </c>
      <c r="B9">
        <v>0.75007999999999997</v>
      </c>
    </row>
    <row r="10" spans="1:10" x14ac:dyDescent="0.25">
      <c r="A10" t="s">
        <v>23</v>
      </c>
      <c r="B10">
        <v>0.71584000000000003</v>
      </c>
    </row>
    <row r="11" spans="1:10" x14ac:dyDescent="0.25">
      <c r="A11" t="s">
        <v>23</v>
      </c>
      <c r="B11">
        <v>0.72428000000000003</v>
      </c>
    </row>
    <row r="12" spans="1:10" x14ac:dyDescent="0.25">
      <c r="A12" t="s">
        <v>23</v>
      </c>
      <c r="B12">
        <v>0.74421000000000004</v>
      </c>
      <c r="D12">
        <f>MAX(B10:B13)</f>
        <v>0.74421000000000004</v>
      </c>
    </row>
    <row r="13" spans="1:10" x14ac:dyDescent="0.25">
      <c r="A13" t="s">
        <v>23</v>
      </c>
      <c r="B13">
        <v>0.74414999999999998</v>
      </c>
    </row>
    <row r="14" spans="1:10" x14ac:dyDescent="0.25">
      <c r="A14" t="s">
        <v>24</v>
      </c>
      <c r="B14">
        <v>0.71930000000000005</v>
      </c>
    </row>
    <row r="15" spans="1:10" x14ac:dyDescent="0.25">
      <c r="A15" t="s">
        <v>24</v>
      </c>
      <c r="B15">
        <v>0.73812</v>
      </c>
      <c r="G15" t="s">
        <v>11</v>
      </c>
      <c r="H15" t="s">
        <v>41</v>
      </c>
      <c r="I15" t="s">
        <v>38</v>
      </c>
      <c r="J15" t="s">
        <v>42</v>
      </c>
    </row>
    <row r="16" spans="1:10" x14ac:dyDescent="0.25">
      <c r="A16" t="s">
        <v>24</v>
      </c>
      <c r="B16">
        <v>0.74339</v>
      </c>
      <c r="D16">
        <f>MAX(B14:B17)</f>
        <v>0.74339</v>
      </c>
      <c r="G16" t="s">
        <v>35</v>
      </c>
      <c r="H16" s="3">
        <v>0.97450000000000003</v>
      </c>
      <c r="I16" s="3">
        <v>0.99539999999999995</v>
      </c>
      <c r="J16" s="3">
        <v>0.99490000000000001</v>
      </c>
    </row>
    <row r="17" spans="1:10" x14ac:dyDescent="0.25">
      <c r="A17" t="s">
        <v>24</v>
      </c>
      <c r="B17">
        <v>0.74319999999999997</v>
      </c>
      <c r="G17" t="s">
        <v>1</v>
      </c>
      <c r="H17" s="3">
        <v>0.85409999999999997</v>
      </c>
      <c r="I17" s="3">
        <v>0.96550000000000002</v>
      </c>
      <c r="J17" s="3">
        <v>0.96919999999999995</v>
      </c>
    </row>
    <row r="18" spans="1:10" x14ac:dyDescent="0.25">
      <c r="A18" t="s">
        <v>25</v>
      </c>
      <c r="B18">
        <v>0.71847000000000005</v>
      </c>
      <c r="G18" t="s">
        <v>2</v>
      </c>
      <c r="H18" s="3">
        <v>0.72499999999999998</v>
      </c>
      <c r="I18" s="3">
        <v>0.99239999999999995</v>
      </c>
      <c r="J18" s="3">
        <v>0.99250000000000005</v>
      </c>
    </row>
    <row r="19" spans="1:10" x14ac:dyDescent="0.25">
      <c r="A19" t="s">
        <v>25</v>
      </c>
      <c r="B19">
        <v>0.73836000000000002</v>
      </c>
      <c r="G19" t="s">
        <v>3</v>
      </c>
      <c r="H19" s="3">
        <v>0.98670000000000002</v>
      </c>
      <c r="I19" s="3">
        <v>0.9395</v>
      </c>
      <c r="J19" s="3">
        <v>0.93279999999999996</v>
      </c>
    </row>
    <row r="20" spans="1:10" x14ac:dyDescent="0.25">
      <c r="A20" t="s">
        <v>25</v>
      </c>
      <c r="B20">
        <v>0.74111000000000005</v>
      </c>
      <c r="D20">
        <f>MAX(B18:B21)</f>
        <v>0.74111000000000005</v>
      </c>
      <c r="G20" t="s">
        <v>4</v>
      </c>
      <c r="H20" s="3">
        <v>0.92220000000000002</v>
      </c>
      <c r="I20" s="3">
        <v>0.72509999999999997</v>
      </c>
      <c r="J20" s="3">
        <v>0.83940000000000003</v>
      </c>
    </row>
    <row r="21" spans="1:10" x14ac:dyDescent="0.25">
      <c r="A21" t="s">
        <v>25</v>
      </c>
      <c r="B21">
        <v>0.74097000000000002</v>
      </c>
      <c r="G21" t="s">
        <v>5</v>
      </c>
      <c r="H21" s="3">
        <v>0.98599999999999999</v>
      </c>
      <c r="I21" s="3">
        <v>0.99229999999999996</v>
      </c>
      <c r="J21" s="3">
        <v>0.98950000000000005</v>
      </c>
    </row>
    <row r="22" spans="1:10" x14ac:dyDescent="0.25">
      <c r="A22" t="s">
        <v>15</v>
      </c>
      <c r="B22">
        <v>0.71986000000000006</v>
      </c>
      <c r="G22" t="s">
        <v>6</v>
      </c>
      <c r="H22" s="3">
        <v>0.99390000000000001</v>
      </c>
      <c r="I22" s="3">
        <v>0.99390000000000001</v>
      </c>
      <c r="J22" s="3">
        <v>0.99309999999999998</v>
      </c>
    </row>
    <row r="23" spans="1:10" x14ac:dyDescent="0.25">
      <c r="A23" t="s">
        <v>15</v>
      </c>
      <c r="B23">
        <v>0.71870999999999996</v>
      </c>
      <c r="D23">
        <f>MAX(B22:B24)</f>
        <v>0.73451999999999995</v>
      </c>
      <c r="G23" t="s">
        <v>7</v>
      </c>
      <c r="H23" s="3">
        <v>0.93869999999999998</v>
      </c>
      <c r="I23" s="3">
        <v>0.97550000000000003</v>
      </c>
      <c r="J23" s="3">
        <v>0.98719999999999997</v>
      </c>
    </row>
    <row r="24" spans="1:10" x14ac:dyDescent="0.25">
      <c r="A24" t="s">
        <v>15</v>
      </c>
      <c r="B24">
        <v>0.73451999999999995</v>
      </c>
      <c r="G24" t="s">
        <v>8</v>
      </c>
      <c r="H24" s="3">
        <v>0.93610000000000004</v>
      </c>
      <c r="I24" s="3">
        <v>0.96550000000000002</v>
      </c>
      <c r="J24" s="3">
        <v>0.96450000000000002</v>
      </c>
    </row>
    <row r="25" spans="1:10" x14ac:dyDescent="0.25">
      <c r="A25" t="s">
        <v>26</v>
      </c>
      <c r="B25">
        <v>0.71862999999999999</v>
      </c>
      <c r="D25">
        <f>MAX(B25:B27)</f>
        <v>0.72668999999999995</v>
      </c>
      <c r="G25" t="s">
        <v>9</v>
      </c>
      <c r="H25" s="3">
        <v>0.997</v>
      </c>
      <c r="I25" s="3">
        <v>0.99080000000000001</v>
      </c>
      <c r="J25" s="3">
        <v>0.99060000000000004</v>
      </c>
    </row>
    <row r="26" spans="1:10" x14ac:dyDescent="0.25">
      <c r="A26" t="s">
        <v>26</v>
      </c>
      <c r="B26">
        <v>0.72275999999999996</v>
      </c>
      <c r="G26" t="s">
        <v>10</v>
      </c>
      <c r="H26" s="3">
        <v>0.97860000000000003</v>
      </c>
      <c r="I26" s="3">
        <v>0.99809999999999999</v>
      </c>
      <c r="J26" s="3">
        <v>0.99860000000000004</v>
      </c>
    </row>
    <row r="27" spans="1:10" x14ac:dyDescent="0.25">
      <c r="A27" t="s">
        <v>26</v>
      </c>
      <c r="B27">
        <v>0.72668999999999995</v>
      </c>
      <c r="G27" t="s">
        <v>30</v>
      </c>
      <c r="H27" s="3">
        <v>0.93570909090909093</v>
      </c>
      <c r="I27" s="3">
        <v>0.95763636363636384</v>
      </c>
      <c r="J27" s="3">
        <v>0.96839090909090897</v>
      </c>
    </row>
    <row r="28" spans="1:10" x14ac:dyDescent="0.25">
      <c r="A28" t="s">
        <v>14</v>
      </c>
      <c r="B28">
        <v>0.73404000000000003</v>
      </c>
      <c r="D28">
        <f>MAX(B28:B29)</f>
        <v>0.74175999999999997</v>
      </c>
    </row>
    <row r="29" spans="1:10" x14ac:dyDescent="0.25">
      <c r="A29" t="s">
        <v>14</v>
      </c>
      <c r="B29">
        <v>0.74175999999999997</v>
      </c>
    </row>
    <row r="30" spans="1:10" x14ac:dyDescent="0.25">
      <c r="A30" t="s">
        <v>27</v>
      </c>
      <c r="B30">
        <v>0.65053000000000005</v>
      </c>
      <c r="D30">
        <f>MAX(B30:B31)</f>
        <v>0.66100999999999999</v>
      </c>
    </row>
    <row r="31" spans="1:10" x14ac:dyDescent="0.25">
      <c r="A31" t="s">
        <v>27</v>
      </c>
      <c r="B31">
        <v>0.66100999999999999</v>
      </c>
    </row>
    <row r="32" spans="1:10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2025-03-19T04:11:03Z</dcterms:modified>
</cp:coreProperties>
</file>